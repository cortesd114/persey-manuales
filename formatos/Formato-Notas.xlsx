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 and Settings\Documents\05-UdeC\2021-2\"/>
    </mc:Choice>
  </mc:AlternateContent>
  <xr:revisionPtr revIDLastSave="0" documentId="8_{78AABBE3-9507-43BC-9E59-E8DF8D862D99}" xr6:coauthVersionLast="47" xr6:coauthVersionMax="47" xr10:uidLastSave="{00000000-0000-0000-0000-000000000000}"/>
  <bookViews>
    <workbookView xWindow="-120" yWindow="-120" windowWidth="20730" windowHeight="11160" tabRatio="599" xr2:uid="{00000000-000D-0000-FFFF-FFFF00000000}"/>
  </bookViews>
  <sheets>
    <sheet name="NO TOCAR" sheetId="3" r:id="rId1"/>
    <sheet name="CORTE I " sheetId="1" r:id="rId2"/>
    <sheet name="CORTE II" sheetId="5" r:id="rId3"/>
    <sheet name="CORTE III" sheetId="6" r:id="rId4"/>
    <sheet name="Hoja1" sheetId="4" state="hidden" r:id="rId5"/>
  </sheets>
  <definedNames>
    <definedName name="_xlnm.Print_Area" localSheetId="1">'CORTE I '!$A$1:$CW$64</definedName>
    <definedName name="CAUSA_1">#REF!</definedName>
  </definedNames>
  <calcPr calcId="191029"/>
</workbook>
</file>

<file path=xl/calcChain.xml><?xml version="1.0" encoding="utf-8"?>
<calcChain xmlns="http://schemas.openxmlformats.org/spreadsheetml/2006/main">
  <c r="AO22" i="6" l="1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13" i="6"/>
  <c r="AO14" i="6"/>
  <c r="AO15" i="6"/>
  <c r="AO16" i="6"/>
  <c r="AO17" i="6"/>
  <c r="AO18" i="6"/>
  <c r="AO19" i="6"/>
  <c r="AO20" i="6"/>
  <c r="AO21" i="6"/>
  <c r="D3" i="1" l="1"/>
  <c r="C8" i="1"/>
  <c r="X8" i="5"/>
  <c r="C13" i="6" l="1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12" i="6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3" i="3"/>
  <c r="B64" i="6" l="1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12" i="6"/>
  <c r="AA22" i="1" l="1"/>
  <c r="AB22" i="1"/>
  <c r="AC22" i="1"/>
  <c r="AD22" i="1"/>
  <c r="AE22" i="1"/>
  <c r="AF22" i="1"/>
  <c r="AG22" i="1"/>
  <c r="AH22" i="1" l="1"/>
  <c r="AI22" i="6" s="1"/>
  <c r="AH34" i="1" l="1"/>
  <c r="AI34" i="6" s="1"/>
  <c r="AH35" i="1"/>
  <c r="AI35" i="6" s="1"/>
  <c r="AH36" i="1"/>
  <c r="AI36" i="6" s="1"/>
  <c r="AH37" i="1"/>
  <c r="AI37" i="6" s="1"/>
  <c r="AH38" i="1"/>
  <c r="AI38" i="6" s="1"/>
  <c r="AH39" i="1"/>
  <c r="AI39" i="6" s="1"/>
  <c r="AH40" i="1"/>
  <c r="AI40" i="6" s="1"/>
  <c r="AH41" i="1"/>
  <c r="AI41" i="6" s="1"/>
  <c r="AH42" i="1"/>
  <c r="AI42" i="6" s="1"/>
  <c r="AH43" i="1"/>
  <c r="AI43" i="6" s="1"/>
  <c r="AH44" i="1"/>
  <c r="AI44" i="6" s="1"/>
  <c r="AH45" i="1"/>
  <c r="AI45" i="6" s="1"/>
  <c r="AH46" i="1"/>
  <c r="AI46" i="6" s="1"/>
  <c r="AH47" i="1"/>
  <c r="AI47" i="6" s="1"/>
  <c r="AH48" i="1"/>
  <c r="AI48" i="6" s="1"/>
  <c r="AH49" i="1"/>
  <c r="AI49" i="6" s="1"/>
  <c r="AH50" i="1"/>
  <c r="AI50" i="6" s="1"/>
  <c r="AH51" i="1"/>
  <c r="AI51" i="6" s="1"/>
  <c r="AH52" i="1"/>
  <c r="AI52" i="6" s="1"/>
  <c r="AH53" i="1"/>
  <c r="AI53" i="6" s="1"/>
  <c r="AH54" i="1"/>
  <c r="AI54" i="6" s="1"/>
  <c r="AH55" i="1"/>
  <c r="AI55" i="6" s="1"/>
  <c r="AH56" i="1"/>
  <c r="AI56" i="6" s="1"/>
  <c r="AH57" i="1"/>
  <c r="AI57" i="6" s="1"/>
  <c r="AH58" i="1"/>
  <c r="AI58" i="6" s="1"/>
  <c r="AH59" i="1"/>
  <c r="AI59" i="6" s="1"/>
  <c r="AH60" i="1"/>
  <c r="AI60" i="6" s="1"/>
  <c r="AH61" i="1"/>
  <c r="AI61" i="6" s="1"/>
  <c r="AH62" i="1"/>
  <c r="AI62" i="6" s="1"/>
  <c r="AH63" i="1"/>
  <c r="AI63" i="6" s="1"/>
  <c r="AH64" i="1"/>
  <c r="AI64" i="6" s="1"/>
  <c r="AG13" i="1"/>
  <c r="AG14" i="1"/>
  <c r="AG15" i="1"/>
  <c r="AG16" i="1"/>
  <c r="AG17" i="1"/>
  <c r="AG18" i="1"/>
  <c r="AG19" i="1"/>
  <c r="AG20" i="1"/>
  <c r="AG21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12" i="1"/>
  <c r="AF13" i="1"/>
  <c r="AF14" i="1"/>
  <c r="AF15" i="1"/>
  <c r="AF16" i="1"/>
  <c r="AF17" i="1"/>
  <c r="AF18" i="1"/>
  <c r="AF19" i="1"/>
  <c r="AF20" i="1"/>
  <c r="AF21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12" i="1"/>
  <c r="AE13" i="1"/>
  <c r="AE14" i="1"/>
  <c r="AE15" i="1"/>
  <c r="AE16" i="1"/>
  <c r="AE17" i="1"/>
  <c r="AE18" i="1"/>
  <c r="AE19" i="1"/>
  <c r="AE20" i="1"/>
  <c r="AE21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12" i="1"/>
  <c r="AD13" i="1"/>
  <c r="AD14" i="1"/>
  <c r="AD15" i="1"/>
  <c r="AD16" i="1"/>
  <c r="AD17" i="1"/>
  <c r="AD18" i="1"/>
  <c r="AD19" i="1"/>
  <c r="AD20" i="1"/>
  <c r="AD21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12" i="1"/>
  <c r="AC13" i="1"/>
  <c r="AC14" i="1"/>
  <c r="AC15" i="1"/>
  <c r="AC16" i="1"/>
  <c r="AC17" i="1"/>
  <c r="AC18" i="1"/>
  <c r="AC19" i="1"/>
  <c r="AC20" i="1"/>
  <c r="AC21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12" i="1"/>
  <c r="AB13" i="1"/>
  <c r="AB14" i="1"/>
  <c r="AB15" i="1"/>
  <c r="AB16" i="1"/>
  <c r="AB17" i="1"/>
  <c r="AB18" i="1"/>
  <c r="AB19" i="1"/>
  <c r="AB20" i="1"/>
  <c r="AB21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12" i="1"/>
  <c r="AA13" i="1"/>
  <c r="AA14" i="1"/>
  <c r="AA15" i="1"/>
  <c r="AA16" i="1"/>
  <c r="AA17" i="1"/>
  <c r="AA18" i="1"/>
  <c r="AA19" i="1"/>
  <c r="AA20" i="1"/>
  <c r="AA21" i="1"/>
  <c r="AA23" i="1"/>
  <c r="AH23" i="1" s="1"/>
  <c r="AI23" i="6" s="1"/>
  <c r="AA24" i="1"/>
  <c r="AH24" i="1" s="1"/>
  <c r="AI24" i="6" s="1"/>
  <c r="AA25" i="1"/>
  <c r="AH25" i="1" s="1"/>
  <c r="AI25" i="6" s="1"/>
  <c r="AA26" i="1"/>
  <c r="AH26" i="1" s="1"/>
  <c r="AI26" i="6" s="1"/>
  <c r="AA27" i="1"/>
  <c r="AA28" i="1"/>
  <c r="AA29" i="1"/>
  <c r="AH29" i="1" s="1"/>
  <c r="AI29" i="6" s="1"/>
  <c r="AA30" i="1"/>
  <c r="AA31" i="1"/>
  <c r="AH31" i="1" s="1"/>
  <c r="AI31" i="6" s="1"/>
  <c r="AA32" i="1"/>
  <c r="AH32" i="1" s="1"/>
  <c r="AI32" i="6" s="1"/>
  <c r="AA33" i="1"/>
  <c r="AH33" i="1" s="1"/>
  <c r="AI33" i="6" s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12" i="1"/>
  <c r="AH17" i="1" l="1"/>
  <c r="AI17" i="6" s="1"/>
  <c r="AH16" i="1"/>
  <c r="AI16" i="6" s="1"/>
  <c r="AH15" i="1"/>
  <c r="AI15" i="6" s="1"/>
  <c r="AH14" i="1"/>
  <c r="AI14" i="6" s="1"/>
  <c r="AH20" i="1"/>
  <c r="AI20" i="6" s="1"/>
  <c r="AH21" i="1"/>
  <c r="AI21" i="6" s="1"/>
  <c r="AH28" i="1"/>
  <c r="AI28" i="6" s="1"/>
  <c r="AH27" i="1"/>
  <c r="AI27" i="6" s="1"/>
  <c r="AH18" i="1"/>
  <c r="AI18" i="6" s="1"/>
  <c r="AH30" i="1"/>
  <c r="AI30" i="6" s="1"/>
  <c r="AH19" i="1"/>
  <c r="AI19" i="6" s="1"/>
  <c r="AH13" i="1"/>
  <c r="AI13" i="6" s="1"/>
  <c r="AH12" i="1"/>
  <c r="AG65" i="6"/>
  <c r="AG65" i="5" l="1"/>
  <c r="AG7" i="5" l="1"/>
  <c r="C3" i="3" l="1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C12" i="5"/>
  <c r="B12" i="5"/>
  <c r="D13" i="6" l="1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12" i="6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12" i="5"/>
  <c r="X8" i="6"/>
  <c r="AF61" i="5" l="1"/>
  <c r="AG61" i="5"/>
  <c r="AJ61" i="6" s="1"/>
  <c r="AE61" i="5"/>
  <c r="Z61" i="5"/>
  <c r="AD61" i="5"/>
  <c r="AC61" i="5"/>
  <c r="AB61" i="5"/>
  <c r="AA61" i="5"/>
  <c r="AF57" i="5"/>
  <c r="AG57" i="5"/>
  <c r="AJ57" i="6" s="1"/>
  <c r="AE57" i="5"/>
  <c r="Z57" i="5"/>
  <c r="AD57" i="5"/>
  <c r="AC57" i="5"/>
  <c r="AB57" i="5"/>
  <c r="AA57" i="5"/>
  <c r="AF53" i="5"/>
  <c r="AG53" i="5"/>
  <c r="AJ53" i="6" s="1"/>
  <c r="AE53" i="5"/>
  <c r="Z53" i="5"/>
  <c r="AD53" i="5"/>
  <c r="AC53" i="5"/>
  <c r="AB53" i="5"/>
  <c r="AA53" i="5"/>
  <c r="AF49" i="5"/>
  <c r="AG49" i="5"/>
  <c r="AJ49" i="6" s="1"/>
  <c r="AE49" i="5"/>
  <c r="Z49" i="5"/>
  <c r="AD49" i="5"/>
  <c r="AC49" i="5"/>
  <c r="AB49" i="5"/>
  <c r="AA49" i="5"/>
  <c r="AF45" i="5"/>
  <c r="AG45" i="5"/>
  <c r="AJ45" i="6" s="1"/>
  <c r="AE45" i="5"/>
  <c r="Z45" i="5"/>
  <c r="AD45" i="5"/>
  <c r="AC45" i="5"/>
  <c r="AB45" i="5"/>
  <c r="AA45" i="5"/>
  <c r="AF41" i="5"/>
  <c r="AG41" i="5"/>
  <c r="AJ41" i="6" s="1"/>
  <c r="AE41" i="5"/>
  <c r="Z41" i="5"/>
  <c r="AD41" i="5"/>
  <c r="AC41" i="5"/>
  <c r="AB41" i="5"/>
  <c r="AA41" i="5"/>
  <c r="AF37" i="5"/>
  <c r="AG37" i="5"/>
  <c r="AJ37" i="6" s="1"/>
  <c r="AE37" i="5"/>
  <c r="Z37" i="5"/>
  <c r="AD37" i="5"/>
  <c r="AC37" i="5"/>
  <c r="AB37" i="5"/>
  <c r="AA37" i="5"/>
  <c r="AF33" i="5"/>
  <c r="AE33" i="5"/>
  <c r="Z33" i="5"/>
  <c r="AG33" i="5" s="1"/>
  <c r="AJ33" i="6" s="1"/>
  <c r="AD33" i="5"/>
  <c r="AC33" i="5"/>
  <c r="AB33" i="5"/>
  <c r="AA33" i="5"/>
  <c r="AF29" i="5"/>
  <c r="AE29" i="5"/>
  <c r="Z29" i="5"/>
  <c r="AG29" i="5" s="1"/>
  <c r="AJ29" i="6" s="1"/>
  <c r="AD29" i="5"/>
  <c r="AC29" i="5"/>
  <c r="AB29" i="5"/>
  <c r="AA29" i="5"/>
  <c r="AF25" i="5"/>
  <c r="AE25" i="5"/>
  <c r="Z25" i="5"/>
  <c r="AG25" i="5" s="1"/>
  <c r="AJ25" i="6" s="1"/>
  <c r="AD25" i="5"/>
  <c r="AC25" i="5"/>
  <c r="AB25" i="5"/>
  <c r="AA25" i="5"/>
  <c r="AF21" i="5"/>
  <c r="AE21" i="5"/>
  <c r="AA21" i="5"/>
  <c r="Z21" i="5"/>
  <c r="AG21" i="5" s="1"/>
  <c r="AJ21" i="6" s="1"/>
  <c r="AD21" i="5"/>
  <c r="AC21" i="5"/>
  <c r="AB21" i="5"/>
  <c r="AF17" i="5"/>
  <c r="AE17" i="5"/>
  <c r="AA17" i="5"/>
  <c r="Z17" i="5"/>
  <c r="AD17" i="5"/>
  <c r="AC17" i="5"/>
  <c r="AB17" i="5"/>
  <c r="AF13" i="5"/>
  <c r="AE13" i="5"/>
  <c r="AA13" i="5"/>
  <c r="Z13" i="5"/>
  <c r="AD13" i="5"/>
  <c r="AC13" i="5"/>
  <c r="AB13" i="5"/>
  <c r="AG62" i="6"/>
  <c r="AF62" i="6"/>
  <c r="AG58" i="6"/>
  <c r="AF58" i="6"/>
  <c r="AG54" i="6"/>
  <c r="AF54" i="6"/>
  <c r="AG50" i="6"/>
  <c r="AF50" i="6"/>
  <c r="AG46" i="6"/>
  <c r="AF46" i="6"/>
  <c r="AG42" i="6"/>
  <c r="AF42" i="6"/>
  <c r="AG38" i="6"/>
  <c r="AF38" i="6"/>
  <c r="AG34" i="6"/>
  <c r="AF34" i="6"/>
  <c r="AF30" i="6"/>
  <c r="AF26" i="6"/>
  <c r="AF22" i="6"/>
  <c r="AF18" i="6"/>
  <c r="AF14" i="6"/>
  <c r="AF12" i="5"/>
  <c r="Z12" i="5"/>
  <c r="AE12" i="5"/>
  <c r="AD12" i="5"/>
  <c r="AC12" i="5"/>
  <c r="AB12" i="5"/>
  <c r="AA12" i="5"/>
  <c r="AG64" i="5"/>
  <c r="AJ64" i="6" s="1"/>
  <c r="AF64" i="5"/>
  <c r="AD64" i="5"/>
  <c r="AC64" i="5"/>
  <c r="AB64" i="5"/>
  <c r="AA64" i="5"/>
  <c r="AE64" i="5"/>
  <c r="Z64" i="5"/>
  <c r="AG60" i="5"/>
  <c r="AJ60" i="6" s="1"/>
  <c r="AF60" i="5"/>
  <c r="AD60" i="5"/>
  <c r="AC60" i="5"/>
  <c r="AB60" i="5"/>
  <c r="AA60" i="5"/>
  <c r="AE60" i="5"/>
  <c r="Z60" i="5"/>
  <c r="AG56" i="5"/>
  <c r="AJ56" i="6" s="1"/>
  <c r="AF56" i="5"/>
  <c r="AD56" i="5"/>
  <c r="AC56" i="5"/>
  <c r="AB56" i="5"/>
  <c r="AA56" i="5"/>
  <c r="AE56" i="5"/>
  <c r="Z56" i="5"/>
  <c r="AG52" i="5"/>
  <c r="AJ52" i="6" s="1"/>
  <c r="AF52" i="5"/>
  <c r="AD52" i="5"/>
  <c r="AC52" i="5"/>
  <c r="AB52" i="5"/>
  <c r="AA52" i="5"/>
  <c r="AE52" i="5"/>
  <c r="Z52" i="5"/>
  <c r="AG48" i="5"/>
  <c r="AJ48" i="6" s="1"/>
  <c r="AF48" i="5"/>
  <c r="AD48" i="5"/>
  <c r="AC48" i="5"/>
  <c r="AB48" i="5"/>
  <c r="AA48" i="5"/>
  <c r="AE48" i="5"/>
  <c r="Z48" i="5"/>
  <c r="AG44" i="5"/>
  <c r="AJ44" i="6" s="1"/>
  <c r="AF44" i="5"/>
  <c r="AD44" i="5"/>
  <c r="AC44" i="5"/>
  <c r="AB44" i="5"/>
  <c r="AA44" i="5"/>
  <c r="AE44" i="5"/>
  <c r="Z44" i="5"/>
  <c r="AG40" i="5"/>
  <c r="AJ40" i="6" s="1"/>
  <c r="AF40" i="5"/>
  <c r="AD40" i="5"/>
  <c r="AC40" i="5"/>
  <c r="AB40" i="5"/>
  <c r="AA40" i="5"/>
  <c r="AE40" i="5"/>
  <c r="Z40" i="5"/>
  <c r="AG36" i="5"/>
  <c r="AJ36" i="6" s="1"/>
  <c r="AF36" i="5"/>
  <c r="AD36" i="5"/>
  <c r="AC36" i="5"/>
  <c r="AB36" i="5"/>
  <c r="AA36" i="5"/>
  <c r="AE36" i="5"/>
  <c r="Z36" i="5"/>
  <c r="AF32" i="5"/>
  <c r="AD32" i="5"/>
  <c r="AC32" i="5"/>
  <c r="AB32" i="5"/>
  <c r="AA32" i="5"/>
  <c r="AG32" i="5" s="1"/>
  <c r="AJ32" i="6" s="1"/>
  <c r="AE32" i="5"/>
  <c r="Z32" i="5"/>
  <c r="AF28" i="5"/>
  <c r="AD28" i="5"/>
  <c r="AC28" i="5"/>
  <c r="AB28" i="5"/>
  <c r="AA28" i="5"/>
  <c r="AG28" i="5" s="1"/>
  <c r="AJ28" i="6" s="1"/>
  <c r="AE28" i="5"/>
  <c r="Z28" i="5"/>
  <c r="AF24" i="5"/>
  <c r="AD24" i="5"/>
  <c r="AC24" i="5"/>
  <c r="AB24" i="5"/>
  <c r="AA24" i="5"/>
  <c r="AG24" i="5" s="1"/>
  <c r="AJ24" i="6" s="1"/>
  <c r="AE24" i="5"/>
  <c r="Z24" i="5"/>
  <c r="AF20" i="5"/>
  <c r="AD20" i="5"/>
  <c r="AC20" i="5"/>
  <c r="AB20" i="5"/>
  <c r="AE20" i="5"/>
  <c r="AA20" i="5"/>
  <c r="Z20" i="5"/>
  <c r="AF16" i="5"/>
  <c r="AD16" i="5"/>
  <c r="AC16" i="5"/>
  <c r="AB16" i="5"/>
  <c r="AE16" i="5"/>
  <c r="AG16" i="5" s="1"/>
  <c r="AJ16" i="6" s="1"/>
  <c r="AA16" i="5"/>
  <c r="Z16" i="5"/>
  <c r="AG61" i="6"/>
  <c r="AF61" i="6"/>
  <c r="AG57" i="6"/>
  <c r="AF57" i="6"/>
  <c r="AG53" i="6"/>
  <c r="AF53" i="6"/>
  <c r="AG49" i="6"/>
  <c r="AF49" i="6"/>
  <c r="AG45" i="6"/>
  <c r="AF45" i="6"/>
  <c r="AG41" i="6"/>
  <c r="AF41" i="6"/>
  <c r="AG37" i="6"/>
  <c r="AF37" i="6"/>
  <c r="AF33" i="6"/>
  <c r="AF29" i="6"/>
  <c r="AF25" i="6"/>
  <c r="AF21" i="6"/>
  <c r="AF17" i="6"/>
  <c r="AF13" i="6"/>
  <c r="AG63" i="5"/>
  <c r="AJ63" i="6" s="1"/>
  <c r="AF63" i="5"/>
  <c r="AC63" i="5"/>
  <c r="AB63" i="5"/>
  <c r="AA63" i="5"/>
  <c r="AE63" i="5"/>
  <c r="Z63" i="5"/>
  <c r="AD63" i="5"/>
  <c r="AG59" i="5"/>
  <c r="AJ59" i="6" s="1"/>
  <c r="AF59" i="5"/>
  <c r="AC59" i="5"/>
  <c r="AB59" i="5"/>
  <c r="AA59" i="5"/>
  <c r="AE59" i="5"/>
  <c r="Z59" i="5"/>
  <c r="AD59" i="5"/>
  <c r="AG55" i="5"/>
  <c r="AJ55" i="6" s="1"/>
  <c r="AF55" i="5"/>
  <c r="AC55" i="5"/>
  <c r="AB55" i="5"/>
  <c r="AA55" i="5"/>
  <c r="AE55" i="5"/>
  <c r="Z55" i="5"/>
  <c r="AD55" i="5"/>
  <c r="AG51" i="5"/>
  <c r="AJ51" i="6" s="1"/>
  <c r="AF51" i="5"/>
  <c r="AC51" i="5"/>
  <c r="AB51" i="5"/>
  <c r="AA51" i="5"/>
  <c r="AE51" i="5"/>
  <c r="Z51" i="5"/>
  <c r="AD51" i="5"/>
  <c r="AG47" i="5"/>
  <c r="AJ47" i="6" s="1"/>
  <c r="AF47" i="5"/>
  <c r="AC47" i="5"/>
  <c r="AB47" i="5"/>
  <c r="AA47" i="5"/>
  <c r="AE47" i="5"/>
  <c r="Z47" i="5"/>
  <c r="AD47" i="5"/>
  <c r="AG43" i="5"/>
  <c r="AJ43" i="6" s="1"/>
  <c r="AF43" i="5"/>
  <c r="AC43" i="5"/>
  <c r="AB43" i="5"/>
  <c r="AA43" i="5"/>
  <c r="AE43" i="5"/>
  <c r="Z43" i="5"/>
  <c r="AD43" i="5"/>
  <c r="AG39" i="5"/>
  <c r="AJ39" i="6" s="1"/>
  <c r="AF39" i="5"/>
  <c r="AC39" i="5"/>
  <c r="AB39" i="5"/>
  <c r="AA39" i="5"/>
  <c r="AE39" i="5"/>
  <c r="Z39" i="5"/>
  <c r="AD39" i="5"/>
  <c r="AG35" i="5"/>
  <c r="AJ35" i="6" s="1"/>
  <c r="AF35" i="5"/>
  <c r="AC35" i="5"/>
  <c r="AB35" i="5"/>
  <c r="AA35" i="5"/>
  <c r="AE35" i="5"/>
  <c r="Z35" i="5"/>
  <c r="AD35" i="5"/>
  <c r="AF31" i="5"/>
  <c r="AC31" i="5"/>
  <c r="AB31" i="5"/>
  <c r="AA31" i="5"/>
  <c r="AE31" i="5"/>
  <c r="Z31" i="5"/>
  <c r="AG31" i="5" s="1"/>
  <c r="AJ31" i="6" s="1"/>
  <c r="AD31" i="5"/>
  <c r="AF27" i="5"/>
  <c r="AC27" i="5"/>
  <c r="AB27" i="5"/>
  <c r="AA27" i="5"/>
  <c r="AE27" i="5"/>
  <c r="Z27" i="5"/>
  <c r="AG27" i="5" s="1"/>
  <c r="AJ27" i="6" s="1"/>
  <c r="AD27" i="5"/>
  <c r="AA23" i="5"/>
  <c r="AF23" i="5"/>
  <c r="AC23" i="5"/>
  <c r="AB23" i="5"/>
  <c r="AG23" i="5" s="1"/>
  <c r="AJ23" i="6" s="1"/>
  <c r="AE23" i="5"/>
  <c r="Z23" i="5"/>
  <c r="AD23" i="5"/>
  <c r="AF19" i="5"/>
  <c r="AC19" i="5"/>
  <c r="AB19" i="5"/>
  <c r="AE19" i="5"/>
  <c r="AA19" i="5"/>
  <c r="Z19" i="5"/>
  <c r="AD19" i="5"/>
  <c r="AF15" i="5"/>
  <c r="AC15" i="5"/>
  <c r="AB15" i="5"/>
  <c r="AE15" i="5"/>
  <c r="AA15" i="5"/>
  <c r="Z15" i="5"/>
  <c r="AG15" i="5" s="1"/>
  <c r="AJ15" i="6" s="1"/>
  <c r="AD15" i="5"/>
  <c r="AG64" i="6"/>
  <c r="AF64" i="6"/>
  <c r="AG60" i="6"/>
  <c r="AF60" i="6"/>
  <c r="AG56" i="6"/>
  <c r="AF56" i="6"/>
  <c r="AG52" i="6"/>
  <c r="AF52" i="6"/>
  <c r="AG48" i="6"/>
  <c r="AF48" i="6"/>
  <c r="AG44" i="6"/>
  <c r="AF44" i="6"/>
  <c r="AG40" i="6"/>
  <c r="AF40" i="6"/>
  <c r="AG36" i="6"/>
  <c r="AF36" i="6"/>
  <c r="AF32" i="6"/>
  <c r="AF28" i="6"/>
  <c r="AF24" i="6"/>
  <c r="AF20" i="6"/>
  <c r="AF16" i="6"/>
  <c r="AG62" i="5"/>
  <c r="AF62" i="5"/>
  <c r="AC62" i="5"/>
  <c r="AB62" i="5"/>
  <c r="AA62" i="5"/>
  <c r="AE62" i="5"/>
  <c r="Z62" i="5"/>
  <c r="AD62" i="5"/>
  <c r="AG58" i="5"/>
  <c r="AJ58" i="6" s="1"/>
  <c r="AF58" i="5"/>
  <c r="AC58" i="5"/>
  <c r="AB58" i="5"/>
  <c r="AA58" i="5"/>
  <c r="AE58" i="5"/>
  <c r="Z58" i="5"/>
  <c r="AD58" i="5"/>
  <c r="AG54" i="5"/>
  <c r="AF54" i="5"/>
  <c r="AC54" i="5"/>
  <c r="AB54" i="5"/>
  <c r="AA54" i="5"/>
  <c r="AE54" i="5"/>
  <c r="Z54" i="5"/>
  <c r="AD54" i="5"/>
  <c r="AG50" i="5"/>
  <c r="AJ50" i="6" s="1"/>
  <c r="AF50" i="5"/>
  <c r="AC50" i="5"/>
  <c r="AB50" i="5"/>
  <c r="AA50" i="5"/>
  <c r="AE50" i="5"/>
  <c r="Z50" i="5"/>
  <c r="AD50" i="5"/>
  <c r="AG46" i="5"/>
  <c r="AJ46" i="6" s="1"/>
  <c r="AF46" i="5"/>
  <c r="AC46" i="5"/>
  <c r="AB46" i="5"/>
  <c r="AA46" i="5"/>
  <c r="AE46" i="5"/>
  <c r="Z46" i="5"/>
  <c r="AD46" i="5"/>
  <c r="AG42" i="5"/>
  <c r="AJ42" i="6" s="1"/>
  <c r="AF42" i="5"/>
  <c r="AC42" i="5"/>
  <c r="AB42" i="5"/>
  <c r="AA42" i="5"/>
  <c r="AE42" i="5"/>
  <c r="Z42" i="5"/>
  <c r="AD42" i="5"/>
  <c r="AG38" i="5"/>
  <c r="AJ38" i="6" s="1"/>
  <c r="AF38" i="5"/>
  <c r="AC38" i="5"/>
  <c r="AB38" i="5"/>
  <c r="AA38" i="5"/>
  <c r="AE38" i="5"/>
  <c r="Z38" i="5"/>
  <c r="AD38" i="5"/>
  <c r="AG34" i="5"/>
  <c r="AJ34" i="6" s="1"/>
  <c r="AF34" i="5"/>
  <c r="AC34" i="5"/>
  <c r="AB34" i="5"/>
  <c r="AA34" i="5"/>
  <c r="AE34" i="5"/>
  <c r="Z34" i="5"/>
  <c r="AD34" i="5"/>
  <c r="AF30" i="5"/>
  <c r="AC30" i="5"/>
  <c r="AB30" i="5"/>
  <c r="AA30" i="5"/>
  <c r="AE30" i="5"/>
  <c r="Z30" i="5"/>
  <c r="AG30" i="5" s="1"/>
  <c r="AJ30" i="6" s="1"/>
  <c r="AD30" i="5"/>
  <c r="AF26" i="5"/>
  <c r="AC26" i="5"/>
  <c r="AB26" i="5"/>
  <c r="AA26" i="5"/>
  <c r="AE26" i="5"/>
  <c r="Z26" i="5"/>
  <c r="AG26" i="5" s="1"/>
  <c r="AJ26" i="6" s="1"/>
  <c r="AD26" i="5"/>
  <c r="AF22" i="5"/>
  <c r="AC22" i="5"/>
  <c r="AB22" i="5"/>
  <c r="AE22" i="5"/>
  <c r="AA22" i="5"/>
  <c r="Z22" i="5"/>
  <c r="AG22" i="5" s="1"/>
  <c r="AJ22" i="6" s="1"/>
  <c r="AD22" i="5"/>
  <c r="AF18" i="5"/>
  <c r="AC18" i="5"/>
  <c r="AB18" i="5"/>
  <c r="AE18" i="5"/>
  <c r="AA18" i="5"/>
  <c r="Z18" i="5"/>
  <c r="AD18" i="5"/>
  <c r="AF14" i="5"/>
  <c r="AC14" i="5"/>
  <c r="AB14" i="5"/>
  <c r="AE14" i="5"/>
  <c r="AA14" i="5"/>
  <c r="Z14" i="5"/>
  <c r="AD14" i="5"/>
  <c r="AG63" i="6"/>
  <c r="AF63" i="6"/>
  <c r="AG59" i="6"/>
  <c r="AF59" i="6"/>
  <c r="AG55" i="6"/>
  <c r="AF55" i="6"/>
  <c r="AG51" i="6"/>
  <c r="AF51" i="6"/>
  <c r="AG47" i="6"/>
  <c r="AF47" i="6"/>
  <c r="AG43" i="6"/>
  <c r="AF43" i="6"/>
  <c r="AG39" i="6"/>
  <c r="AF39" i="6"/>
  <c r="AG35" i="6"/>
  <c r="AF35" i="6"/>
  <c r="AF31" i="6"/>
  <c r="AF27" i="6"/>
  <c r="AF23" i="6"/>
  <c r="AF19" i="6"/>
  <c r="AF15" i="6"/>
  <c r="AB62" i="6"/>
  <c r="Z62" i="6"/>
  <c r="AC62" i="6"/>
  <c r="AA62" i="6"/>
  <c r="AD62" i="6"/>
  <c r="AE62" i="6"/>
  <c r="AD54" i="6"/>
  <c r="Z54" i="6"/>
  <c r="AE54" i="6"/>
  <c r="AA54" i="6"/>
  <c r="AC54" i="6"/>
  <c r="AB54" i="6"/>
  <c r="AB46" i="6"/>
  <c r="Z46" i="6"/>
  <c r="AC46" i="6"/>
  <c r="AD46" i="6"/>
  <c r="AA46" i="6"/>
  <c r="AE46" i="6"/>
  <c r="AD38" i="6"/>
  <c r="Z38" i="6"/>
  <c r="AE38" i="6"/>
  <c r="AA38" i="6"/>
  <c r="AC38" i="6"/>
  <c r="AB38" i="6"/>
  <c r="AB30" i="6"/>
  <c r="AC30" i="6"/>
  <c r="AD30" i="6"/>
  <c r="AE30" i="6"/>
  <c r="AA30" i="6"/>
  <c r="AG30" i="6" s="1"/>
  <c r="Z30" i="6"/>
  <c r="AC18" i="6"/>
  <c r="AD18" i="6"/>
  <c r="Z18" i="6"/>
  <c r="AE18" i="6"/>
  <c r="AB18" i="6"/>
  <c r="AA18" i="6"/>
  <c r="AD12" i="6"/>
  <c r="AC12" i="6"/>
  <c r="Z12" i="6"/>
  <c r="AB12" i="6"/>
  <c r="AF12" i="6"/>
  <c r="AE12" i="6"/>
  <c r="AA12" i="6"/>
  <c r="AE57" i="6"/>
  <c r="AD57" i="6"/>
  <c r="AC57" i="6"/>
  <c r="AB57" i="6"/>
  <c r="AA57" i="6"/>
  <c r="Z57" i="6"/>
  <c r="AE49" i="6"/>
  <c r="AD49" i="6"/>
  <c r="AC49" i="6"/>
  <c r="AB49" i="6"/>
  <c r="AA49" i="6"/>
  <c r="Z49" i="6"/>
  <c r="AE41" i="6"/>
  <c r="AD41" i="6"/>
  <c r="AC41" i="6"/>
  <c r="AB41" i="6"/>
  <c r="AA41" i="6"/>
  <c r="Z41" i="6"/>
  <c r="AE33" i="6"/>
  <c r="AD33" i="6"/>
  <c r="AC33" i="6"/>
  <c r="AB33" i="6"/>
  <c r="AA33" i="6"/>
  <c r="Z33" i="6"/>
  <c r="AG33" i="6" s="1"/>
  <c r="AE29" i="6"/>
  <c r="AD29" i="6"/>
  <c r="AC29" i="6"/>
  <c r="AB29" i="6"/>
  <c r="AA29" i="6"/>
  <c r="Z29" i="6"/>
  <c r="AG29" i="6" s="1"/>
  <c r="AE21" i="6"/>
  <c r="AD21" i="6"/>
  <c r="AC21" i="6"/>
  <c r="AB21" i="6"/>
  <c r="AA21" i="6"/>
  <c r="Z21" i="6"/>
  <c r="AG21" i="6" s="1"/>
  <c r="AE17" i="6"/>
  <c r="AD17" i="6"/>
  <c r="AC17" i="6"/>
  <c r="AB17" i="6"/>
  <c r="AA17" i="6"/>
  <c r="Z17" i="6"/>
  <c r="AE13" i="6"/>
  <c r="AD13" i="6"/>
  <c r="AC13" i="6"/>
  <c r="AB13" i="6"/>
  <c r="AA13" i="6"/>
  <c r="Z13" i="6"/>
  <c r="AD64" i="6"/>
  <c r="AE64" i="6"/>
  <c r="AA64" i="6"/>
  <c r="AB64" i="6"/>
  <c r="AC64" i="6"/>
  <c r="Z64" i="6"/>
  <c r="AC60" i="6"/>
  <c r="AD60" i="6"/>
  <c r="AE60" i="6"/>
  <c r="AB60" i="6"/>
  <c r="Z60" i="6"/>
  <c r="AA60" i="6"/>
  <c r="AB56" i="6"/>
  <c r="AC56" i="6"/>
  <c r="AA56" i="6"/>
  <c r="AD56" i="6"/>
  <c r="Z56" i="6"/>
  <c r="AE56" i="6"/>
  <c r="AE52" i="6"/>
  <c r="AA52" i="6"/>
  <c r="AB52" i="6"/>
  <c r="AC52" i="6"/>
  <c r="Z52" i="6"/>
  <c r="AD52" i="6"/>
  <c r="AD48" i="6"/>
  <c r="AE48" i="6"/>
  <c r="AA48" i="6"/>
  <c r="AC48" i="6"/>
  <c r="AB48" i="6"/>
  <c r="Z48" i="6"/>
  <c r="AC44" i="6"/>
  <c r="AD44" i="6"/>
  <c r="AE44" i="6"/>
  <c r="AB44" i="6"/>
  <c r="AA44" i="6"/>
  <c r="Z44" i="6"/>
  <c r="AB40" i="6"/>
  <c r="AC40" i="6"/>
  <c r="AD40" i="6"/>
  <c r="AA40" i="6"/>
  <c r="AE40" i="6"/>
  <c r="Z40" i="6"/>
  <c r="AE36" i="6"/>
  <c r="AA36" i="6"/>
  <c r="AB36" i="6"/>
  <c r="Z36" i="6"/>
  <c r="AD36" i="6"/>
  <c r="AC36" i="6"/>
  <c r="AD32" i="6"/>
  <c r="Z32" i="6"/>
  <c r="AG32" i="6" s="1"/>
  <c r="AE32" i="6"/>
  <c r="AA32" i="6"/>
  <c r="AC32" i="6"/>
  <c r="AB32" i="6"/>
  <c r="AC28" i="6"/>
  <c r="AD28" i="6"/>
  <c r="Z28" i="6"/>
  <c r="AG28" i="6" s="1"/>
  <c r="AE28" i="6"/>
  <c r="AB28" i="6"/>
  <c r="AA28" i="6"/>
  <c r="AB24" i="6"/>
  <c r="AC24" i="6"/>
  <c r="AD24" i="6"/>
  <c r="AG24" i="6" s="1"/>
  <c r="AE24" i="6"/>
  <c r="Z24" i="6"/>
  <c r="AA24" i="6"/>
  <c r="AE20" i="6"/>
  <c r="AA20" i="6"/>
  <c r="AB20" i="6"/>
  <c r="AD20" i="6"/>
  <c r="Z20" i="6"/>
  <c r="AG20" i="6" s="1"/>
  <c r="AC20" i="6"/>
  <c r="AD16" i="6"/>
  <c r="Z16" i="6"/>
  <c r="AE16" i="6"/>
  <c r="AA16" i="6"/>
  <c r="AC16" i="6"/>
  <c r="AB16" i="6"/>
  <c r="AE58" i="6"/>
  <c r="AA58" i="6"/>
  <c r="Z58" i="6"/>
  <c r="AB58" i="6"/>
  <c r="AD58" i="6"/>
  <c r="AC58" i="6"/>
  <c r="AC50" i="6"/>
  <c r="Z50" i="6"/>
  <c r="AD50" i="6"/>
  <c r="AE50" i="6"/>
  <c r="AB50" i="6"/>
  <c r="AA50" i="6"/>
  <c r="AE42" i="6"/>
  <c r="AA42" i="6"/>
  <c r="Z42" i="6"/>
  <c r="AB42" i="6"/>
  <c r="AD42" i="6"/>
  <c r="AC42" i="6"/>
  <c r="AC34" i="6"/>
  <c r="AD34" i="6"/>
  <c r="Z34" i="6"/>
  <c r="AE34" i="6"/>
  <c r="AA34" i="6"/>
  <c r="AB34" i="6"/>
  <c r="AE26" i="6"/>
  <c r="AA26" i="6"/>
  <c r="AB26" i="6"/>
  <c r="AC26" i="6"/>
  <c r="AD26" i="6"/>
  <c r="Z26" i="6"/>
  <c r="AD22" i="6"/>
  <c r="Z22" i="6"/>
  <c r="AG22" i="6" s="1"/>
  <c r="AE22" i="6"/>
  <c r="AA22" i="6"/>
  <c r="AB22" i="6"/>
  <c r="AC22" i="6"/>
  <c r="AB14" i="6"/>
  <c r="AC14" i="6"/>
  <c r="AD14" i="6"/>
  <c r="AA14" i="6"/>
  <c r="AE14" i="6"/>
  <c r="Z14" i="6"/>
  <c r="AE61" i="6"/>
  <c r="AD61" i="6"/>
  <c r="AC61" i="6"/>
  <c r="AB61" i="6"/>
  <c r="AA61" i="6"/>
  <c r="Z61" i="6"/>
  <c r="AE53" i="6"/>
  <c r="AD53" i="6"/>
  <c r="AC53" i="6"/>
  <c r="AB53" i="6"/>
  <c r="AA53" i="6"/>
  <c r="Z53" i="6"/>
  <c r="AE45" i="6"/>
  <c r="AD45" i="6"/>
  <c r="AC45" i="6"/>
  <c r="AB45" i="6"/>
  <c r="AA45" i="6"/>
  <c r="Z45" i="6"/>
  <c r="AE37" i="6"/>
  <c r="AD37" i="6"/>
  <c r="AC37" i="6"/>
  <c r="AB37" i="6"/>
  <c r="AA37" i="6"/>
  <c r="Z37" i="6"/>
  <c r="AE25" i="6"/>
  <c r="AD25" i="6"/>
  <c r="AC25" i="6"/>
  <c r="AB25" i="6"/>
  <c r="AA25" i="6"/>
  <c r="Z25" i="6"/>
  <c r="AG25" i="6" s="1"/>
  <c r="AE63" i="6"/>
  <c r="AA63" i="6"/>
  <c r="AB63" i="6"/>
  <c r="Z63" i="6"/>
  <c r="AD63" i="6"/>
  <c r="AC63" i="6"/>
  <c r="AD59" i="6"/>
  <c r="AE59" i="6"/>
  <c r="AA59" i="6"/>
  <c r="Z59" i="6"/>
  <c r="AC59" i="6"/>
  <c r="AB59" i="6"/>
  <c r="AC55" i="6"/>
  <c r="AD55" i="6"/>
  <c r="Z55" i="6"/>
  <c r="AE55" i="6"/>
  <c r="AA55" i="6"/>
  <c r="AB55" i="6"/>
  <c r="AB51" i="6"/>
  <c r="AC51" i="6"/>
  <c r="Z51" i="6"/>
  <c r="AD51" i="6"/>
  <c r="AE51" i="6"/>
  <c r="AA51" i="6"/>
  <c r="AE47" i="6"/>
  <c r="AA47" i="6"/>
  <c r="AB47" i="6"/>
  <c r="Z47" i="6"/>
  <c r="AC47" i="6"/>
  <c r="AD47" i="6"/>
  <c r="AD43" i="6"/>
  <c r="AE43" i="6"/>
  <c r="AA43" i="6"/>
  <c r="Z43" i="6"/>
  <c r="AB43" i="6"/>
  <c r="AC43" i="6"/>
  <c r="AC39" i="6"/>
  <c r="AD39" i="6"/>
  <c r="Z39" i="6"/>
  <c r="AE39" i="6"/>
  <c r="AB39" i="6"/>
  <c r="AA39" i="6"/>
  <c r="AB35" i="6"/>
  <c r="AC35" i="6"/>
  <c r="AD35" i="6"/>
  <c r="Z35" i="6"/>
  <c r="AA35" i="6"/>
  <c r="AE35" i="6"/>
  <c r="AE31" i="6"/>
  <c r="AA31" i="6"/>
  <c r="AB31" i="6"/>
  <c r="Z31" i="6"/>
  <c r="AG31" i="6" s="1"/>
  <c r="AD31" i="6"/>
  <c r="AC31" i="6"/>
  <c r="AD27" i="6"/>
  <c r="Z27" i="6"/>
  <c r="AG27" i="6" s="1"/>
  <c r="AE27" i="6"/>
  <c r="AA27" i="6"/>
  <c r="AC27" i="6"/>
  <c r="AB27" i="6"/>
  <c r="AC23" i="6"/>
  <c r="AD23" i="6"/>
  <c r="Z23" i="6"/>
  <c r="AE23" i="6"/>
  <c r="AB23" i="6"/>
  <c r="AA23" i="6"/>
  <c r="AG23" i="6" s="1"/>
  <c r="AB19" i="6"/>
  <c r="AC19" i="6"/>
  <c r="AD19" i="6"/>
  <c r="AA19" i="6"/>
  <c r="Z19" i="6"/>
  <c r="AE19" i="6"/>
  <c r="AE15" i="6"/>
  <c r="AA15" i="6"/>
  <c r="AB15" i="6"/>
  <c r="Z15" i="6"/>
  <c r="AD15" i="6"/>
  <c r="AC15" i="6"/>
  <c r="AJ54" i="6"/>
  <c r="AJ62" i="6"/>
  <c r="AG17" i="6" l="1"/>
  <c r="AK17" i="6" s="1"/>
  <c r="AG18" i="5"/>
  <c r="AJ18" i="6" s="1"/>
  <c r="AG19" i="5"/>
  <c r="AJ19" i="6" s="1"/>
  <c r="AG20" i="5"/>
  <c r="AJ20" i="6" s="1"/>
  <c r="AG17" i="5"/>
  <c r="AJ17" i="6" s="1"/>
  <c r="AG18" i="6"/>
  <c r="AK18" i="6" s="1"/>
  <c r="AG15" i="6"/>
  <c r="AK15" i="6" s="1"/>
  <c r="AG19" i="6"/>
  <c r="AK19" i="6" s="1"/>
  <c r="AG16" i="6"/>
  <c r="AK16" i="6" s="1"/>
  <c r="AG14" i="5"/>
  <c r="AJ14" i="6" s="1"/>
  <c r="AG14" i="6"/>
  <c r="AK14" i="6" s="1"/>
  <c r="AG13" i="6"/>
  <c r="AK13" i="6" s="1"/>
  <c r="AG13" i="5"/>
  <c r="AJ13" i="6" s="1"/>
  <c r="AG26" i="6"/>
  <c r="AK26" i="6" s="1"/>
  <c r="AK49" i="6"/>
  <c r="AK35" i="6"/>
  <c r="AK32" i="6"/>
  <c r="AK36" i="6"/>
  <c r="AK53" i="6"/>
  <c r="AK44" i="6"/>
  <c r="AK21" i="6"/>
  <c r="AG12" i="5"/>
  <c r="AJ12" i="6" s="1"/>
  <c r="AG12" i="6"/>
  <c r="AK12" i="6" s="1"/>
  <c r="AK60" i="6"/>
  <c r="AK41" i="6"/>
  <c r="AK30" i="6"/>
  <c r="AK38" i="6"/>
  <c r="AK62" i="6"/>
  <c r="AK37" i="6"/>
  <c r="AK22" i="6"/>
  <c r="AK42" i="6"/>
  <c r="AK50" i="6"/>
  <c r="AK24" i="6"/>
  <c r="AK56" i="6"/>
  <c r="AK33" i="6"/>
  <c r="AK58" i="6"/>
  <c r="AK28" i="6"/>
  <c r="AK23" i="6"/>
  <c r="AK27" i="6"/>
  <c r="AK31" i="6"/>
  <c r="AK39" i="6"/>
  <c r="AK47" i="6"/>
  <c r="AK51" i="6"/>
  <c r="AK55" i="6"/>
  <c r="AK63" i="6"/>
  <c r="AK45" i="6"/>
  <c r="AK40" i="6"/>
  <c r="AK43" i="6"/>
  <c r="AK59" i="6"/>
  <c r="AK25" i="6"/>
  <c r="AK61" i="6"/>
  <c r="AK34" i="6"/>
  <c r="AK20" i="6"/>
  <c r="AK48" i="6"/>
  <c r="AK52" i="6"/>
  <c r="AK64" i="6"/>
  <c r="AK29" i="6"/>
  <c r="AK57" i="6"/>
  <c r="AK46" i="6"/>
  <c r="AK54" i="6"/>
  <c r="AI12" i="6"/>
  <c r="C4" i="3"/>
  <c r="J4" i="3" s="1"/>
  <c r="C5" i="3"/>
  <c r="J5" i="3" s="1"/>
  <c r="C6" i="3"/>
  <c r="J6" i="3" s="1"/>
  <c r="C7" i="3"/>
  <c r="J7" i="3" s="1"/>
  <c r="C8" i="3"/>
  <c r="J8" i="3" s="1"/>
  <c r="C9" i="3"/>
  <c r="J9" i="3" s="1"/>
  <c r="C10" i="3"/>
  <c r="J10" i="3" s="1"/>
  <c r="C11" i="3"/>
  <c r="J11" i="3" s="1"/>
  <c r="C12" i="3"/>
  <c r="J12" i="3" s="1"/>
  <c r="C13" i="3"/>
  <c r="J13" i="3" s="1"/>
  <c r="C14" i="3"/>
  <c r="J14" i="3" s="1"/>
  <c r="C15" i="3"/>
  <c r="J15" i="3" s="1"/>
  <c r="C16" i="3"/>
  <c r="J16" i="3" s="1"/>
  <c r="C17" i="3"/>
  <c r="J17" i="3" s="1"/>
  <c r="C18" i="3"/>
  <c r="J18" i="3" s="1"/>
  <c r="C19" i="3"/>
  <c r="J19" i="3" s="1"/>
  <c r="C20" i="3"/>
  <c r="J20" i="3" s="1"/>
  <c r="C21" i="3"/>
  <c r="J21" i="3" s="1"/>
  <c r="C22" i="3"/>
  <c r="J22" i="3" s="1"/>
  <c r="C23" i="3"/>
  <c r="J23" i="3" s="1"/>
  <c r="C24" i="3"/>
  <c r="J24" i="3" s="1"/>
  <c r="C25" i="3"/>
  <c r="J25" i="3" s="1"/>
  <c r="C26" i="3"/>
  <c r="J26" i="3" s="1"/>
  <c r="C27" i="3"/>
  <c r="J27" i="3" s="1"/>
  <c r="C28" i="3"/>
  <c r="J28" i="3" s="1"/>
  <c r="C29" i="3"/>
  <c r="J29" i="3" s="1"/>
  <c r="C30" i="3"/>
  <c r="J30" i="3" s="1"/>
  <c r="C31" i="3"/>
  <c r="J31" i="3" s="1"/>
  <c r="C32" i="3"/>
  <c r="J32" i="3" s="1"/>
  <c r="C33" i="3"/>
  <c r="J33" i="3" s="1"/>
  <c r="C34" i="3"/>
  <c r="J34" i="3" s="1"/>
  <c r="C35" i="3"/>
  <c r="J35" i="3" s="1"/>
  <c r="C36" i="3"/>
  <c r="J36" i="3" s="1"/>
  <c r="C37" i="3"/>
  <c r="J37" i="3" s="1"/>
  <c r="C38" i="3"/>
  <c r="J38" i="3" s="1"/>
  <c r="C39" i="3"/>
  <c r="J39" i="3" s="1"/>
  <c r="C40" i="3"/>
  <c r="J40" i="3" s="1"/>
  <c r="C41" i="3"/>
  <c r="J41" i="3" s="1"/>
  <c r="C42" i="3"/>
  <c r="J42" i="3" s="1"/>
  <c r="C43" i="3"/>
  <c r="J43" i="3" s="1"/>
  <c r="C44" i="3"/>
  <c r="J44" i="3" s="1"/>
  <c r="C45" i="3"/>
  <c r="J45" i="3" s="1"/>
  <c r="C46" i="3"/>
  <c r="J46" i="3" s="1"/>
  <c r="C47" i="3"/>
  <c r="J47" i="3" s="1"/>
  <c r="C48" i="3"/>
  <c r="J48" i="3" s="1"/>
  <c r="C49" i="3"/>
  <c r="J49" i="3" s="1"/>
  <c r="C50" i="3"/>
  <c r="J50" i="3" s="1"/>
  <c r="C51" i="3"/>
  <c r="J51" i="3" s="1"/>
  <c r="C52" i="3"/>
  <c r="J52" i="3" s="1"/>
  <c r="C53" i="3"/>
  <c r="J53" i="3" s="1"/>
  <c r="C54" i="3"/>
  <c r="C55" i="3"/>
  <c r="J55" i="3" s="1"/>
  <c r="J54" i="3"/>
  <c r="Y8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3" i="3"/>
  <c r="G3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J3" i="3"/>
  <c r="AO12" i="6" l="1"/>
  <c r="I7" i="3"/>
  <c r="P15" i="3"/>
  <c r="P13" i="3"/>
  <c r="P14" i="3"/>
  <c r="P16" i="3"/>
  <c r="Q13" i="3"/>
  <c r="Q15" i="3"/>
  <c r="Q14" i="3"/>
  <c r="Q16" i="3"/>
  <c r="P10" i="3"/>
  <c r="P11" i="3"/>
  <c r="P12" i="3"/>
  <c r="Q10" i="3"/>
  <c r="Q11" i="3"/>
  <c r="Q12" i="3"/>
  <c r="C56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P9" i="3" l="1"/>
  <c r="Q9" i="3"/>
  <c r="E47" i="3"/>
  <c r="E35" i="3"/>
  <c r="E23" i="3"/>
  <c r="F55" i="3"/>
  <c r="F47" i="3"/>
  <c r="F39" i="3"/>
  <c r="F27" i="3"/>
  <c r="F19" i="3"/>
  <c r="E54" i="3"/>
  <c r="E50" i="3"/>
  <c r="E46" i="3"/>
  <c r="E42" i="3"/>
  <c r="E38" i="3"/>
  <c r="E34" i="3"/>
  <c r="E30" i="3"/>
  <c r="E26" i="3"/>
  <c r="E22" i="3"/>
  <c r="E18" i="3"/>
  <c r="F54" i="3"/>
  <c r="F50" i="3"/>
  <c r="F46" i="3"/>
  <c r="F42" i="3"/>
  <c r="F38" i="3"/>
  <c r="F34" i="3"/>
  <c r="F30" i="3"/>
  <c r="F26" i="3"/>
  <c r="F22" i="3"/>
  <c r="F18" i="3"/>
  <c r="E51" i="3"/>
  <c r="E39" i="3"/>
  <c r="E27" i="3"/>
  <c r="F51" i="3"/>
  <c r="F43" i="3"/>
  <c r="F31" i="3"/>
  <c r="F23" i="3"/>
  <c r="E53" i="3"/>
  <c r="E49" i="3"/>
  <c r="E45" i="3"/>
  <c r="E41" i="3"/>
  <c r="E37" i="3"/>
  <c r="E33" i="3"/>
  <c r="E29" i="3"/>
  <c r="E25" i="3"/>
  <c r="E21" i="3"/>
  <c r="E17" i="3"/>
  <c r="F53" i="3"/>
  <c r="F49" i="3"/>
  <c r="F45" i="3"/>
  <c r="F41" i="3"/>
  <c r="F37" i="3"/>
  <c r="F33" i="3"/>
  <c r="F29" i="3"/>
  <c r="F25" i="3"/>
  <c r="F21" i="3"/>
  <c r="F17" i="3"/>
  <c r="E55" i="3"/>
  <c r="E43" i="3"/>
  <c r="E31" i="3"/>
  <c r="E19" i="3"/>
  <c r="F35" i="3"/>
  <c r="E52" i="3"/>
  <c r="E48" i="3"/>
  <c r="E44" i="3"/>
  <c r="E40" i="3"/>
  <c r="E36" i="3"/>
  <c r="E32" i="3"/>
  <c r="E28" i="3"/>
  <c r="E24" i="3"/>
  <c r="E20" i="3"/>
  <c r="E16" i="3"/>
  <c r="F52" i="3"/>
  <c r="F48" i="3"/>
  <c r="F44" i="3"/>
  <c r="F40" i="3"/>
  <c r="F36" i="3"/>
  <c r="F32" i="3"/>
  <c r="F28" i="3"/>
  <c r="F24" i="3"/>
  <c r="F20" i="3"/>
  <c r="F16" i="3"/>
  <c r="D51" i="3"/>
  <c r="D39" i="3"/>
  <c r="D31" i="3"/>
  <c r="D19" i="3"/>
  <c r="D54" i="3"/>
  <c r="D50" i="3"/>
  <c r="D46" i="3"/>
  <c r="D42" i="3"/>
  <c r="D38" i="3"/>
  <c r="D34" i="3"/>
  <c r="D30" i="3"/>
  <c r="D26" i="3"/>
  <c r="D22" i="3"/>
  <c r="D18" i="3"/>
  <c r="D55" i="3"/>
  <c r="D43" i="3"/>
  <c r="D35" i="3"/>
  <c r="D23" i="3"/>
  <c r="D53" i="3"/>
  <c r="D49" i="3"/>
  <c r="D45" i="3"/>
  <c r="D41" i="3"/>
  <c r="D37" i="3"/>
  <c r="D33" i="3"/>
  <c r="D29" i="3"/>
  <c r="D25" i="3"/>
  <c r="D21" i="3"/>
  <c r="D17" i="3"/>
  <c r="D47" i="3"/>
  <c r="D27" i="3"/>
  <c r="D52" i="3"/>
  <c r="D48" i="3"/>
  <c r="D44" i="3"/>
  <c r="D40" i="3"/>
  <c r="D36" i="3"/>
  <c r="D32" i="3"/>
  <c r="D28" i="3"/>
  <c r="D24" i="3"/>
  <c r="D20" i="3"/>
  <c r="D16" i="3"/>
  <c r="I11" i="3"/>
  <c r="D11" i="3"/>
  <c r="E11" i="3"/>
  <c r="F11" i="3"/>
  <c r="I14" i="3"/>
  <c r="D14" i="3"/>
  <c r="I10" i="3"/>
  <c r="D10" i="3"/>
  <c r="E14" i="3"/>
  <c r="E10" i="3"/>
  <c r="E6" i="3"/>
  <c r="F14" i="3"/>
  <c r="F10" i="3"/>
  <c r="F6" i="3"/>
  <c r="D7" i="3"/>
  <c r="E7" i="3"/>
  <c r="F15" i="3"/>
  <c r="D13" i="3"/>
  <c r="D9" i="3"/>
  <c r="E13" i="3"/>
  <c r="E9" i="3"/>
  <c r="E5" i="3"/>
  <c r="F13" i="3"/>
  <c r="F9" i="3"/>
  <c r="F5" i="3"/>
  <c r="I15" i="3"/>
  <c r="D15" i="3"/>
  <c r="E15" i="3"/>
  <c r="F7" i="3"/>
  <c r="I12" i="3"/>
  <c r="D12" i="3"/>
  <c r="D8" i="3"/>
  <c r="E12" i="3"/>
  <c r="E8" i="3"/>
  <c r="F12" i="3"/>
  <c r="F8" i="3"/>
  <c r="F4" i="3"/>
  <c r="D4" i="3"/>
  <c r="I13" i="3"/>
  <c r="I9" i="3"/>
  <c r="I8" i="3" l="1"/>
  <c r="I6" i="3"/>
  <c r="I4" i="3"/>
  <c r="E4" i="3"/>
  <c r="F3" i="3"/>
  <c r="E3" i="3"/>
  <c r="I5" i="3"/>
  <c r="D5" i="3"/>
  <c r="D3" i="3"/>
  <c r="D6" i="3"/>
  <c r="N15" i="3" l="1"/>
  <c r="N13" i="3"/>
  <c r="N14" i="3"/>
  <c r="N16" i="3"/>
  <c r="O13" i="3"/>
  <c r="O15" i="3"/>
  <c r="O14" i="3"/>
  <c r="O16" i="3"/>
  <c r="M11" i="3"/>
  <c r="M15" i="3"/>
  <c r="M13" i="3"/>
  <c r="M14" i="3"/>
  <c r="M16" i="3"/>
  <c r="O10" i="3"/>
  <c r="O11" i="3"/>
  <c r="O12" i="3"/>
  <c r="O9" i="3"/>
  <c r="N10" i="3"/>
  <c r="N11" i="3"/>
  <c r="N12" i="3"/>
  <c r="N9" i="3"/>
  <c r="M9" i="3"/>
  <c r="I3" i="3"/>
  <c r="M10" i="3"/>
  <c r="M12" i="3"/>
  <c r="R15" i="3" l="1"/>
  <c r="R13" i="3"/>
  <c r="R14" i="3"/>
  <c r="R16" i="3"/>
  <c r="R12" i="3"/>
  <c r="R9" i="3"/>
  <c r="R10" i="3"/>
  <c r="R11" i="3"/>
</calcChain>
</file>

<file path=xl/sharedStrings.xml><?xml version="1.0" encoding="utf-8"?>
<sst xmlns="http://schemas.openxmlformats.org/spreadsheetml/2006/main" count="188" uniqueCount="93">
  <si>
    <t>Q1</t>
  </si>
  <si>
    <t>Q2</t>
  </si>
  <si>
    <t>Q3</t>
  </si>
  <si>
    <t>L1</t>
  </si>
  <si>
    <t>L2</t>
  </si>
  <si>
    <t>L3</t>
  </si>
  <si>
    <t>T1</t>
  </si>
  <si>
    <t>T</t>
  </si>
  <si>
    <t>T2</t>
  </si>
  <si>
    <t>T3</t>
  </si>
  <si>
    <t>P1</t>
  </si>
  <si>
    <t>P2</t>
  </si>
  <si>
    <t>LAB</t>
  </si>
  <si>
    <t>Q</t>
  </si>
  <si>
    <t>RESUMEN C1</t>
  </si>
  <si>
    <t>PRIMER CORTE</t>
  </si>
  <si>
    <t>FINAL C1</t>
  </si>
  <si>
    <t>N°</t>
  </si>
  <si>
    <t>D. I.</t>
  </si>
  <si>
    <t>FINAL C2</t>
  </si>
  <si>
    <t>FINAL C3</t>
  </si>
  <si>
    <t>NOMBRES Y APELLIDOS COMPLETOS</t>
  </si>
  <si>
    <t>SEGUNDO CORTE</t>
  </si>
  <si>
    <t>RESUMEN C2</t>
  </si>
  <si>
    <t>TERCER CORTE</t>
  </si>
  <si>
    <t>RESUMEN C3</t>
  </si>
  <si>
    <t>AUTO 10%</t>
  </si>
  <si>
    <t>RESUMEN FINAL DE NOTAS</t>
  </si>
  <si>
    <t xml:space="preserve">NOTA DEFINITIVA </t>
  </si>
  <si>
    <t>PAR</t>
  </si>
  <si>
    <t>POSIBLES CAUSAS</t>
  </si>
  <si>
    <t>CAUSA 1</t>
  </si>
  <si>
    <t>CAUSA 2</t>
  </si>
  <si>
    <t>CAUSA 3</t>
  </si>
  <si>
    <t>RECOMENDACIÓN</t>
  </si>
  <si>
    <t xml:space="preserve">OBSERVACIONES  </t>
  </si>
  <si>
    <t xml:space="preserve">código </t>
  </si>
  <si>
    <t>ESTADISTICAS DEL CURSO</t>
  </si>
  <si>
    <t xml:space="preserve">NOMBRE DE LOS ESTUDIANTES </t>
  </si>
  <si>
    <t>CORTE 1</t>
  </si>
  <si>
    <t>CORTE 2</t>
  </si>
  <si>
    <t>CORTE 3</t>
  </si>
  <si>
    <t>FINAL</t>
  </si>
  <si>
    <t>Nº</t>
  </si>
  <si>
    <t>COE</t>
  </si>
  <si>
    <t>AUTO</t>
  </si>
  <si>
    <t xml:space="preserve">INDICADORES </t>
  </si>
  <si>
    <t>Puntaje mínimo</t>
  </si>
  <si>
    <t>Promedio</t>
  </si>
  <si>
    <t>Igual o Superior a 4</t>
  </si>
  <si>
    <t>Definitiva</t>
  </si>
  <si>
    <t>Corte 3</t>
  </si>
  <si>
    <t>Corte 2</t>
  </si>
  <si>
    <t>Corte 1</t>
  </si>
  <si>
    <t>E1</t>
  </si>
  <si>
    <t>E2</t>
  </si>
  <si>
    <t>SP1</t>
  </si>
  <si>
    <t>SP2</t>
  </si>
  <si>
    <t>Pi1</t>
  </si>
  <si>
    <t>Pi2</t>
  </si>
  <si>
    <t>Laboratorios (L)</t>
  </si>
  <si>
    <t>Quiz (Q)</t>
  </si>
  <si>
    <t>Talleres (T)</t>
  </si>
  <si>
    <t>Pis (Pi)</t>
  </si>
  <si>
    <t>Parciales (P)</t>
  </si>
  <si>
    <t>E3</t>
  </si>
  <si>
    <t>Pi3</t>
  </si>
  <si>
    <t>SP3</t>
  </si>
  <si>
    <t>Pi</t>
  </si>
  <si>
    <t>SP</t>
  </si>
  <si>
    <t>EX</t>
  </si>
  <si>
    <t>Exposición  (EX)</t>
  </si>
  <si>
    <t>EX1</t>
  </si>
  <si>
    <t>EX2</t>
  </si>
  <si>
    <t>EX3</t>
  </si>
  <si>
    <t>Salidas Pedagógicas (SP)</t>
  </si>
  <si>
    <t>Puntaje máximo</t>
  </si>
  <si>
    <t>FIRMA ESTUDIANTE</t>
  </si>
  <si>
    <t>FIRMA DEL ESTUDIANTE</t>
  </si>
  <si>
    <t>Auto</t>
  </si>
  <si>
    <t>Coe</t>
  </si>
  <si>
    <t>COE 10%</t>
  </si>
  <si>
    <t>Repitente</t>
  </si>
  <si>
    <t xml:space="preserve">Resumen Final de las Notas </t>
  </si>
  <si>
    <t>Índice de Aprobados</t>
  </si>
  <si>
    <t>Entre 2 y 2,99</t>
  </si>
  <si>
    <t>Entre 0 y 1,99</t>
  </si>
  <si>
    <t>Entre 3 y 3,99</t>
  </si>
  <si>
    <t>D.I.</t>
  </si>
  <si>
    <t>AUTOEVA</t>
  </si>
  <si>
    <t>COEVA</t>
  </si>
  <si>
    <t>PORCENTAJES POR CORTE</t>
  </si>
  <si>
    <t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</si>
</sst>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72"/>
      <color theme="1"/>
      <name val="Arial"/>
      <family val="2"/>
    </font>
    <font>
      <sz val="12"/>
      <color rgb="FF2F2F2F"/>
      <name val="Arial"/>
      <family val="2"/>
    </font>
    <font>
      <b/>
      <sz val="36"/>
      <color theme="1"/>
      <name val="Arial Black"/>
      <family val="2"/>
    </font>
    <font>
      <b/>
      <sz val="12"/>
      <color theme="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0E96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8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0" xfId="0" applyFill="1"/>
    <xf numFmtId="0" fontId="2" fillId="3" borderId="38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2" fillId="3" borderId="40" xfId="0" applyFont="1" applyFill="1" applyBorder="1" applyAlignment="1">
      <alignment horizontal="center"/>
    </xf>
    <xf numFmtId="0" fontId="2" fillId="5" borderId="39" xfId="0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0" fontId="2" fillId="5" borderId="40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4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0" fontId="4" fillId="0" borderId="0" xfId="0" applyFont="1"/>
    <xf numFmtId="0" fontId="3" fillId="4" borderId="3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2" fontId="3" fillId="0" borderId="35" xfId="0" applyNumberFormat="1" applyFont="1" applyBorder="1" applyAlignment="1">
      <alignment horizontal="center"/>
    </xf>
    <xf numFmtId="0" fontId="3" fillId="5" borderId="3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4" fillId="4" borderId="4" xfId="0" applyNumberFormat="1" applyFont="1" applyFill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4" fillId="4" borderId="7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4" fillId="4" borderId="10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" xfId="0" applyFill="1" applyBorder="1"/>
    <xf numFmtId="0" fontId="0" fillId="10" borderId="1" xfId="0" applyFill="1" applyBorder="1" applyAlignment="1">
      <alignment horizontal="center" vertical="center"/>
    </xf>
    <xf numFmtId="0" fontId="0" fillId="9" borderId="0" xfId="0" applyFill="1"/>
    <xf numFmtId="2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3" fillId="0" borderId="35" xfId="0" applyNumberFormat="1" applyFont="1" applyBorder="1" applyAlignment="1">
      <alignment horizontal="center"/>
    </xf>
    <xf numFmtId="0" fontId="5" fillId="0" borderId="0" xfId="0" applyFont="1"/>
    <xf numFmtId="0" fontId="3" fillId="4" borderId="17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/>
    </xf>
    <xf numFmtId="0" fontId="3" fillId="4" borderId="30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7" fillId="5" borderId="38" xfId="0" applyFont="1" applyFill="1" applyBorder="1" applyAlignment="1">
      <alignment horizontal="center"/>
    </xf>
    <xf numFmtId="0" fontId="7" fillId="5" borderId="15" xfId="0" applyFont="1" applyFill="1" applyBorder="1" applyAlignment="1">
      <alignment horizontal="center"/>
    </xf>
    <xf numFmtId="0" fontId="7" fillId="3" borderId="40" xfId="0" applyFont="1" applyFill="1" applyBorder="1" applyAlignment="1">
      <alignment horizontal="center"/>
    </xf>
    <xf numFmtId="0" fontId="7" fillId="5" borderId="40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38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4" borderId="42" xfId="0" applyFont="1" applyFill="1" applyBorder="1" applyAlignment="1">
      <alignment horizontal="center"/>
    </xf>
    <xf numFmtId="0" fontId="3" fillId="4" borderId="48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6" borderId="4" xfId="0" applyNumberFormat="1" applyFill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6" borderId="6" xfId="0" applyNumberFormat="1" applyFill="1" applyBorder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0" fillId="5" borderId="6" xfId="0" applyNumberFormat="1" applyFill="1" applyBorder="1" applyAlignment="1">
      <alignment horizontal="center" vertical="center"/>
    </xf>
    <xf numFmtId="0" fontId="0" fillId="5" borderId="0" xfId="0" applyFill="1"/>
    <xf numFmtId="0" fontId="0" fillId="0" borderId="0" xfId="0" applyBorder="1"/>
    <xf numFmtId="2" fontId="3" fillId="0" borderId="49" xfId="0" applyNumberFormat="1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0" fillId="3" borderId="50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8" xfId="0" applyNumberFormat="1" applyFill="1" applyBorder="1" applyAlignment="1">
      <alignment horizontal="center" vertical="center"/>
    </xf>
    <xf numFmtId="0" fontId="0" fillId="6" borderId="9" xfId="0" applyNumberFormat="1" applyFill="1" applyBorder="1" applyAlignment="1">
      <alignment horizontal="center" vertical="center"/>
    </xf>
    <xf numFmtId="0" fontId="3" fillId="4" borderId="3" xfId="2" applyNumberFormat="1" applyFont="1" applyFill="1" applyBorder="1" applyAlignment="1">
      <alignment horizontal="center" vertical="center"/>
    </xf>
    <xf numFmtId="0" fontId="0" fillId="11" borderId="0" xfId="0" applyFill="1"/>
    <xf numFmtId="0" fontId="2" fillId="7" borderId="24" xfId="0" applyFont="1" applyFill="1" applyBorder="1" applyAlignment="1">
      <alignment horizontal="center"/>
    </xf>
    <xf numFmtId="0" fontId="8" fillId="7" borderId="18" xfId="0" applyFont="1" applyFill="1" applyBorder="1"/>
    <xf numFmtId="0" fontId="2" fillId="12" borderId="38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39" xfId="0" applyFont="1" applyFill="1" applyBorder="1" applyAlignment="1">
      <alignment horizontal="center"/>
    </xf>
    <xf numFmtId="0" fontId="2" fillId="12" borderId="46" xfId="0" applyFont="1" applyFill="1" applyBorder="1" applyAlignment="1">
      <alignment horizontal="center"/>
    </xf>
    <xf numFmtId="0" fontId="2" fillId="12" borderId="40" xfId="0" applyFont="1" applyFill="1" applyBorder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0" fontId="3" fillId="4" borderId="42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/>
    </xf>
    <xf numFmtId="0" fontId="10" fillId="0" borderId="22" xfId="0" applyFont="1" applyBorder="1" applyAlignment="1"/>
    <xf numFmtId="0" fontId="10" fillId="0" borderId="0" xfId="0" applyFont="1" applyBorder="1" applyAlignment="1"/>
    <xf numFmtId="0" fontId="10" fillId="0" borderId="23" xfId="0" applyFont="1" applyBorder="1" applyAlignment="1"/>
    <xf numFmtId="0" fontId="10" fillId="0" borderId="24" xfId="0" applyFont="1" applyBorder="1" applyAlignment="1"/>
    <xf numFmtId="0" fontId="10" fillId="0" borderId="45" xfId="0" applyFont="1" applyBorder="1" applyAlignment="1"/>
    <xf numFmtId="0" fontId="10" fillId="0" borderId="25" xfId="0" applyFont="1" applyBorder="1" applyAlignment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3" fillId="8" borderId="36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8" borderId="7" xfId="0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9" fontId="8" fillId="7" borderId="0" xfId="0" applyNumberFormat="1" applyFont="1" applyFill="1"/>
    <xf numFmtId="0" fontId="2" fillId="3" borderId="15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left" vertical="center"/>
    </xf>
    <xf numFmtId="0" fontId="3" fillId="8" borderId="13" xfId="0" applyFont="1" applyFill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44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2" fontId="0" fillId="14" borderId="1" xfId="0" applyNumberFormat="1" applyFill="1" applyBorder="1" applyAlignment="1">
      <alignment horizontal="center" vertical="center"/>
    </xf>
    <xf numFmtId="0" fontId="0" fillId="14" borderId="0" xfId="0" applyFill="1"/>
    <xf numFmtId="9" fontId="2" fillId="14" borderId="1" xfId="0" applyNumberFormat="1" applyFont="1" applyFill="1" applyBorder="1" applyAlignment="1">
      <alignment vertical="center"/>
    </xf>
    <xf numFmtId="9" fontId="13" fillId="15" borderId="1" xfId="0" applyNumberFormat="1" applyFont="1" applyFill="1" applyBorder="1" applyAlignment="1">
      <alignment vertical="center"/>
    </xf>
    <xf numFmtId="0" fontId="2" fillId="14" borderId="26" xfId="0" applyFont="1" applyFill="1" applyBorder="1"/>
    <xf numFmtId="0" fontId="2" fillId="14" borderId="0" xfId="0" applyFont="1" applyFill="1" applyBorder="1"/>
    <xf numFmtId="2" fontId="4" fillId="14" borderId="53" xfId="0" applyNumberFormat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 wrapText="1"/>
    </xf>
    <xf numFmtId="2" fontId="0" fillId="6" borderId="3" xfId="0" applyNumberFormat="1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13" fillId="15" borderId="1" xfId="1" applyFont="1" applyFill="1" applyBorder="1" applyAlignment="1">
      <alignment horizontal="right"/>
    </xf>
    <xf numFmtId="0" fontId="2" fillId="14" borderId="1" xfId="0" applyFont="1" applyFill="1" applyBorder="1" applyAlignment="1">
      <alignment horizontal="left" vertical="top"/>
    </xf>
    <xf numFmtId="0" fontId="0" fillId="5" borderId="26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9" fontId="10" fillId="14" borderId="55" xfId="0" applyNumberFormat="1" applyFont="1" applyFill="1" applyBorder="1" applyAlignment="1">
      <alignment horizontal="center"/>
    </xf>
    <xf numFmtId="9" fontId="10" fillId="14" borderId="56" xfId="0" applyNumberFormat="1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9" fontId="2" fillId="14" borderId="1" xfId="0" applyNumberFormat="1" applyFont="1" applyFill="1" applyBorder="1" applyAlignment="1">
      <alignment horizontal="left" vertic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9" fillId="13" borderId="8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/>
    </xf>
    <xf numFmtId="0" fontId="9" fillId="13" borderId="10" xfId="0" applyFont="1" applyFill="1" applyBorder="1" applyAlignment="1">
      <alignment horizontal="center"/>
    </xf>
    <xf numFmtId="9" fontId="10" fillId="13" borderId="22" xfId="0" applyNumberFormat="1" applyFont="1" applyFill="1" applyBorder="1" applyAlignment="1">
      <alignment horizontal="center"/>
    </xf>
    <xf numFmtId="0" fontId="10" fillId="13" borderId="0" xfId="0" applyFont="1" applyFill="1" applyBorder="1" applyAlignment="1">
      <alignment horizontal="center"/>
    </xf>
    <xf numFmtId="0" fontId="10" fillId="13" borderId="23" xfId="0" applyFont="1" applyFill="1" applyBorder="1" applyAlignment="1">
      <alignment horizontal="center"/>
    </xf>
    <xf numFmtId="0" fontId="10" fillId="13" borderId="22" xfId="0" applyFont="1" applyFill="1" applyBorder="1" applyAlignment="1">
      <alignment horizontal="center"/>
    </xf>
    <xf numFmtId="0" fontId="10" fillId="13" borderId="24" xfId="0" applyFont="1" applyFill="1" applyBorder="1" applyAlignment="1">
      <alignment horizontal="center"/>
    </xf>
    <xf numFmtId="0" fontId="10" fillId="13" borderId="45" xfId="0" applyFont="1" applyFill="1" applyBorder="1" applyAlignment="1">
      <alignment horizontal="center"/>
    </xf>
    <xf numFmtId="0" fontId="10" fillId="13" borderId="25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47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9" fontId="2" fillId="14" borderId="1" xfId="1" applyFont="1" applyFill="1" applyBorder="1" applyAlignment="1">
      <alignment horizontal="center"/>
    </xf>
    <xf numFmtId="9" fontId="13" fillId="15" borderId="1" xfId="1" applyFont="1" applyFill="1" applyBorder="1" applyAlignment="1">
      <alignment horizontal="right" vertical="center"/>
    </xf>
    <xf numFmtId="0" fontId="0" fillId="6" borderId="3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14" borderId="20" xfId="0" applyFont="1" applyFill="1" applyBorder="1" applyAlignment="1">
      <alignment horizontal="center"/>
    </xf>
    <xf numFmtId="0" fontId="9" fillId="14" borderId="47" xfId="0" applyFont="1" applyFill="1" applyBorder="1" applyAlignment="1">
      <alignment horizontal="center"/>
    </xf>
    <xf numFmtId="0" fontId="9" fillId="14" borderId="21" xfId="0" applyFont="1" applyFill="1" applyBorder="1" applyAlignment="1">
      <alignment horizontal="center"/>
    </xf>
    <xf numFmtId="0" fontId="9" fillId="14" borderId="24" xfId="0" applyFont="1" applyFill="1" applyBorder="1" applyAlignment="1">
      <alignment horizontal="center"/>
    </xf>
    <xf numFmtId="0" fontId="9" fillId="14" borderId="45" xfId="0" applyFont="1" applyFill="1" applyBorder="1" applyAlignment="1">
      <alignment horizontal="center"/>
    </xf>
    <xf numFmtId="0" fontId="9" fillId="14" borderId="25" xfId="0" applyFont="1" applyFill="1" applyBorder="1" applyAlignment="1">
      <alignment horizontal="center"/>
    </xf>
    <xf numFmtId="0" fontId="0" fillId="5" borderId="3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9" fontId="2" fillId="14" borderId="32" xfId="1" applyFont="1" applyFill="1" applyBorder="1" applyAlignment="1">
      <alignment horizontal="right" vertical="center"/>
    </xf>
    <xf numFmtId="9" fontId="2" fillId="14" borderId="11" xfId="1" applyFont="1" applyFill="1" applyBorder="1" applyAlignment="1">
      <alignment horizontal="right" vertical="center"/>
    </xf>
    <xf numFmtId="0" fontId="2" fillId="14" borderId="34" xfId="0" applyFont="1" applyFill="1" applyBorder="1" applyAlignment="1">
      <alignment horizontal="left" vertical="center"/>
    </xf>
    <xf numFmtId="0" fontId="2" fillId="14" borderId="9" xfId="0" applyFont="1" applyFill="1" applyBorder="1" applyAlignment="1">
      <alignment horizontal="left" vertical="center"/>
    </xf>
    <xf numFmtId="9" fontId="2" fillId="14" borderId="46" xfId="1" applyFont="1" applyFill="1" applyBorder="1" applyAlignment="1">
      <alignment horizontal="right" vertical="center"/>
    </xf>
    <xf numFmtId="9" fontId="2" fillId="14" borderId="16" xfId="1" applyFont="1" applyFill="1" applyBorder="1" applyAlignment="1">
      <alignment horizontal="right" vertical="center"/>
    </xf>
    <xf numFmtId="9" fontId="2" fillId="14" borderId="32" xfId="1" applyFont="1" applyFill="1" applyBorder="1" applyAlignment="1">
      <alignment horizontal="right"/>
    </xf>
    <xf numFmtId="9" fontId="2" fillId="14" borderId="11" xfId="1" applyFont="1" applyFill="1" applyBorder="1" applyAlignment="1">
      <alignment horizontal="right"/>
    </xf>
    <xf numFmtId="0" fontId="2" fillId="14" borderId="3" xfId="0" applyFont="1" applyFill="1" applyBorder="1" applyAlignment="1">
      <alignment horizontal="left" vertical="center"/>
    </xf>
    <xf numFmtId="0" fontId="2" fillId="14" borderId="4" xfId="0" applyFont="1" applyFill="1" applyBorder="1" applyAlignment="1">
      <alignment horizontal="left" vertical="center"/>
    </xf>
    <xf numFmtId="9" fontId="2" fillId="14" borderId="42" xfId="1" applyFont="1" applyFill="1" applyBorder="1" applyAlignment="1">
      <alignment horizontal="right" vertical="center"/>
    </xf>
    <xf numFmtId="9" fontId="2" fillId="14" borderId="54" xfId="1" applyFont="1" applyFill="1" applyBorder="1" applyAlignment="1">
      <alignment horizontal="right" vertical="center"/>
    </xf>
    <xf numFmtId="0" fontId="2" fillId="14" borderId="2" xfId="0" applyFont="1" applyFill="1" applyBorder="1" applyAlignment="1">
      <alignment horizontal="left" vertical="center"/>
    </xf>
    <xf numFmtId="0" fontId="2" fillId="14" borderId="27" xfId="0" applyFont="1" applyFill="1" applyBorder="1" applyAlignment="1">
      <alignment horizontal="left"/>
    </xf>
    <xf numFmtId="0" fontId="2" fillId="14" borderId="28" xfId="0" applyFont="1" applyFill="1" applyBorder="1" applyAlignment="1">
      <alignment horizontal="left"/>
    </xf>
    <xf numFmtId="0" fontId="2" fillId="14" borderId="2" xfId="0" applyFont="1" applyFill="1" applyBorder="1" applyAlignment="1">
      <alignment horizontal="left"/>
    </xf>
    <xf numFmtId="0" fontId="2" fillId="14" borderId="1" xfId="0" applyFont="1" applyFill="1" applyBorder="1" applyAlignment="1">
      <alignment horizontal="left"/>
    </xf>
    <xf numFmtId="9" fontId="2" fillId="14" borderId="43" xfId="1" applyFont="1" applyFill="1" applyBorder="1" applyAlignment="1">
      <alignment horizontal="right"/>
    </xf>
    <xf numFmtId="9" fontId="2" fillId="14" borderId="12" xfId="1" applyFont="1" applyFill="1" applyBorder="1" applyAlignment="1">
      <alignment horizontal="right"/>
    </xf>
    <xf numFmtId="9" fontId="10" fillId="14" borderId="20" xfId="0" applyNumberFormat="1" applyFont="1" applyFill="1" applyBorder="1" applyAlignment="1">
      <alignment horizontal="center"/>
    </xf>
    <xf numFmtId="9" fontId="10" fillId="14" borderId="47" xfId="0" applyNumberFormat="1" applyFont="1" applyFill="1" applyBorder="1" applyAlignment="1">
      <alignment horizontal="center"/>
    </xf>
    <xf numFmtId="9" fontId="10" fillId="14" borderId="21" xfId="0" applyNumberFormat="1" applyFont="1" applyFill="1" applyBorder="1" applyAlignment="1">
      <alignment horizontal="center"/>
    </xf>
    <xf numFmtId="9" fontId="10" fillId="14" borderId="22" xfId="0" applyNumberFormat="1" applyFont="1" applyFill="1" applyBorder="1" applyAlignment="1">
      <alignment horizontal="center"/>
    </xf>
    <xf numFmtId="9" fontId="10" fillId="14" borderId="0" xfId="0" applyNumberFormat="1" applyFont="1" applyFill="1" applyBorder="1" applyAlignment="1">
      <alignment horizontal="center"/>
    </xf>
    <xf numFmtId="9" fontId="10" fillId="14" borderId="23" xfId="0" applyNumberFormat="1" applyFont="1" applyFill="1" applyBorder="1" applyAlignment="1">
      <alignment horizontal="center"/>
    </xf>
    <xf numFmtId="9" fontId="2" fillId="14" borderId="4" xfId="1" applyFont="1" applyFill="1" applyBorder="1" applyAlignment="1">
      <alignment horizontal="right" vertical="center"/>
    </xf>
    <xf numFmtId="9" fontId="2" fillId="14" borderId="5" xfId="1" applyFont="1" applyFill="1" applyBorder="1" applyAlignment="1">
      <alignment horizontal="right" vertical="center"/>
    </xf>
    <xf numFmtId="9" fontId="2" fillId="14" borderId="1" xfId="1" applyFont="1" applyFill="1" applyBorder="1" applyAlignment="1">
      <alignment horizontal="right" vertical="center"/>
    </xf>
    <xf numFmtId="9" fontId="2" fillId="14" borderId="7" xfId="1" applyFont="1" applyFill="1" applyBorder="1" applyAlignment="1">
      <alignment horizontal="right" vertical="center"/>
    </xf>
    <xf numFmtId="9" fontId="2" fillId="14" borderId="1" xfId="1" applyFont="1" applyFill="1" applyBorder="1" applyAlignment="1">
      <alignment horizontal="right"/>
    </xf>
    <xf numFmtId="9" fontId="2" fillId="14" borderId="7" xfId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2" fillId="14" borderId="18" xfId="1" applyFont="1" applyFill="1" applyBorder="1" applyAlignment="1">
      <alignment horizontal="right" vertical="top"/>
    </xf>
  </cellXfs>
  <cellStyles count="3">
    <cellStyle name="Millares" xfId="2" builtinId="3"/>
    <cellStyle name="Normal" xfId="0" builtinId="0"/>
    <cellStyle name="Porcentaje" xfId="1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0E966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4</xdr:row>
      <xdr:rowOff>0</xdr:rowOff>
    </xdr:from>
    <xdr:to>
      <xdr:col>32</xdr:col>
      <xdr:colOff>304800</xdr:colOff>
      <xdr:row>5</xdr:row>
      <xdr:rowOff>114300</xdr:rowOff>
    </xdr:to>
    <xdr:sp macro="" textlink="">
      <xdr:nvSpPr>
        <xdr:cNvPr id="1025" name="AutoShape 1" descr="Resultado de imagen para UDEC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4</xdr:row>
      <xdr:rowOff>0</xdr:rowOff>
    </xdr:from>
    <xdr:to>
      <xdr:col>31</xdr:col>
      <xdr:colOff>304800</xdr:colOff>
      <xdr:row>5</xdr:row>
      <xdr:rowOff>114300</xdr:rowOff>
    </xdr:to>
    <xdr:sp macro="" textlink="">
      <xdr:nvSpPr>
        <xdr:cNvPr id="3" name="AutoShape 1" descr="Resultado de imagen para UDEC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24469725" y="79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4</xdr:row>
      <xdr:rowOff>0</xdr:rowOff>
    </xdr:from>
    <xdr:to>
      <xdr:col>31</xdr:col>
      <xdr:colOff>304800</xdr:colOff>
      <xdr:row>5</xdr:row>
      <xdr:rowOff>114300</xdr:rowOff>
    </xdr:to>
    <xdr:sp macro="" textlink="">
      <xdr:nvSpPr>
        <xdr:cNvPr id="2" name="AutoShape 1" descr="Resultado de imagen para UDEC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4575750" y="79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R63"/>
  <sheetViews>
    <sheetView tabSelected="1" workbookViewId="0">
      <selection activeCell="A2" sqref="A2"/>
    </sheetView>
  </sheetViews>
  <sheetFormatPr baseColWidth="10" defaultRowHeight="15" x14ac:dyDescent="0.25"/>
  <cols>
    <col min="1" max="1" width="7.7109375" customWidth="1"/>
    <col min="2" max="2" width="10.7109375" customWidth="1"/>
    <col min="3" max="3" width="54.85546875" customWidth="1"/>
    <col min="12" max="12" width="22.140625" customWidth="1"/>
    <col min="13" max="13" width="11.28515625" bestFit="1" customWidth="1"/>
    <col min="14" max="14" width="12.28515625" bestFit="1" customWidth="1"/>
  </cols>
  <sheetData>
    <row r="1" spans="1:18" ht="15.75" thickBot="1" x14ac:dyDescent="0.3">
      <c r="A1" s="168" t="s">
        <v>92</v>
      </c>
      <c r="B1" s="168"/>
      <c r="C1" s="181" t="s">
        <v>37</v>
      </c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3"/>
    </row>
    <row r="2" spans="1:18" x14ac:dyDescent="0.25">
      <c r="A2" s="169" t="s">
        <v>43</v>
      </c>
      <c r="B2" s="170" t="s">
        <v>88</v>
      </c>
      <c r="C2" s="170" t="s">
        <v>38</v>
      </c>
      <c r="D2" s="170" t="s">
        <v>39</v>
      </c>
      <c r="E2" s="170" t="s">
        <v>40</v>
      </c>
      <c r="F2" s="170" t="s">
        <v>41</v>
      </c>
      <c r="G2" s="170" t="s">
        <v>45</v>
      </c>
      <c r="H2" s="170" t="s">
        <v>44</v>
      </c>
      <c r="I2" s="170" t="s">
        <v>42</v>
      </c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69">
        <v>1</v>
      </c>
      <c r="B3" s="169">
        <f>'CORTE I '!C12</f>
        <v>0</v>
      </c>
      <c r="C3" s="169" t="str">
        <f>IF('CORTE I '!D12&gt;0,'CORTE I '!D12,"")</f>
        <v/>
      </c>
      <c r="D3" s="171" t="str">
        <f>+'CORTE I '!AH12</f>
        <v/>
      </c>
      <c r="E3" s="171" t="str">
        <f>+'CORTE II'!AG12</f>
        <v/>
      </c>
      <c r="F3" s="171" t="str">
        <f>+'CORTE III'!AG12</f>
        <v/>
      </c>
      <c r="G3" s="171">
        <f>+'CORTE III'!AL12</f>
        <v>4</v>
      </c>
      <c r="H3" s="171">
        <f>+'CORTE III'!AM12</f>
        <v>5</v>
      </c>
      <c r="I3" s="171">
        <f>+'CORTE III'!AO12</f>
        <v>0</v>
      </c>
      <c r="J3" s="82">
        <f>IF(C3="",0,1)</f>
        <v>0</v>
      </c>
    </row>
    <row r="4" spans="1:18" x14ac:dyDescent="0.25">
      <c r="A4" s="169">
        <v>2</v>
      </c>
      <c r="B4" s="169">
        <f>'CORTE I '!C13</f>
        <v>0</v>
      </c>
      <c r="C4" s="169" t="str">
        <f>IF('CORTE I '!D13&gt;0,'CORTE I '!D13,"")</f>
        <v/>
      </c>
      <c r="D4" s="171" t="str">
        <f>+'CORTE I '!AH13</f>
        <v/>
      </c>
      <c r="E4" s="171" t="str">
        <f>+'CORTE II'!AG13</f>
        <v/>
      </c>
      <c r="F4" s="171" t="str">
        <f>+'CORTE III'!AG13</f>
        <v/>
      </c>
      <c r="G4" s="171">
        <f>+'CORTE III'!AL13</f>
        <v>0</v>
      </c>
      <c r="H4" s="171">
        <f>+'CORTE III'!AM13</f>
        <v>0</v>
      </c>
      <c r="I4" s="171">
        <f>+'CORTE III'!AO13</f>
        <v>0</v>
      </c>
      <c r="J4" s="82">
        <f t="shared" ref="J4:J55" si="0">IF(C4="",0,1)</f>
        <v>0</v>
      </c>
    </row>
    <row r="5" spans="1:18" x14ac:dyDescent="0.25">
      <c r="A5" s="169">
        <v>3</v>
      </c>
      <c r="B5" s="169">
        <f>'CORTE I '!C14</f>
        <v>0</v>
      </c>
      <c r="C5" s="169" t="str">
        <f>IF('CORTE I '!D14&gt;0,'CORTE I '!D14,"")</f>
        <v/>
      </c>
      <c r="D5" s="171" t="str">
        <f>+'CORTE I '!AH14</f>
        <v/>
      </c>
      <c r="E5" s="171" t="str">
        <f>+'CORTE II'!AG14</f>
        <v/>
      </c>
      <c r="F5" s="171" t="str">
        <f>'CORTE III'!AG14</f>
        <v/>
      </c>
      <c r="G5" s="171">
        <f>+'CORTE III'!AL14</f>
        <v>0</v>
      </c>
      <c r="H5" s="171">
        <f>+'CORTE III'!AM14</f>
        <v>0</v>
      </c>
      <c r="I5" s="171">
        <f>+'CORTE III'!AO14</f>
        <v>0</v>
      </c>
      <c r="J5" s="82">
        <f t="shared" si="0"/>
        <v>0</v>
      </c>
    </row>
    <row r="6" spans="1:18" x14ac:dyDescent="0.25">
      <c r="A6" s="169">
        <v>4</v>
      </c>
      <c r="B6" s="169">
        <f>'CORTE I '!C15</f>
        <v>0</v>
      </c>
      <c r="C6" s="169" t="str">
        <f>IF('CORTE I '!D15&gt;0,'CORTE I '!D15,"")</f>
        <v/>
      </c>
      <c r="D6" s="171" t="str">
        <f>+'CORTE I '!AH15</f>
        <v/>
      </c>
      <c r="E6" s="171" t="str">
        <f>+'CORTE II'!AG15</f>
        <v/>
      </c>
      <c r="F6" s="171" t="str">
        <f>'CORTE III'!AG15</f>
        <v/>
      </c>
      <c r="G6" s="171">
        <f>+'CORTE III'!AL15</f>
        <v>0</v>
      </c>
      <c r="H6" s="171">
        <f>+'CORTE III'!AM15</f>
        <v>0</v>
      </c>
      <c r="I6" s="171">
        <f>+'CORTE III'!AO15</f>
        <v>0</v>
      </c>
      <c r="J6" s="82">
        <f t="shared" si="0"/>
        <v>0</v>
      </c>
    </row>
    <row r="7" spans="1:18" x14ac:dyDescent="0.25">
      <c r="A7" s="169">
        <v>5</v>
      </c>
      <c r="B7" s="169">
        <f>'CORTE I '!C16</f>
        <v>0</v>
      </c>
      <c r="C7" s="169" t="str">
        <f>IF('CORTE I '!D16&gt;0,'CORTE I '!D16,"")</f>
        <v/>
      </c>
      <c r="D7" s="171" t="str">
        <f>+'CORTE I '!AH16</f>
        <v/>
      </c>
      <c r="E7" s="171" t="str">
        <f>+'CORTE II'!AG16</f>
        <v/>
      </c>
      <c r="F7" s="171" t="str">
        <f>+'CORTE III'!AG16</f>
        <v/>
      </c>
      <c r="G7" s="171">
        <f>+'CORTE III'!AL16</f>
        <v>0</v>
      </c>
      <c r="H7" s="171">
        <f>+'CORTE III'!AM16</f>
        <v>0</v>
      </c>
      <c r="I7" s="171">
        <f>+'CORTE III'!AO16</f>
        <v>0</v>
      </c>
      <c r="J7" s="82">
        <f t="shared" si="0"/>
        <v>0</v>
      </c>
      <c r="L7" s="184" t="s">
        <v>46</v>
      </c>
      <c r="M7" s="184"/>
      <c r="N7" s="184"/>
      <c r="O7" s="184"/>
      <c r="P7" s="184"/>
      <c r="Q7" s="184"/>
      <c r="R7" s="184"/>
    </row>
    <row r="8" spans="1:18" x14ac:dyDescent="0.25">
      <c r="A8" s="169">
        <v>6</v>
      </c>
      <c r="B8" s="169">
        <f>'CORTE I '!C17</f>
        <v>0</v>
      </c>
      <c r="C8" s="169" t="str">
        <f>IF('CORTE I '!D17&gt;0,'CORTE I '!D17,"")</f>
        <v/>
      </c>
      <c r="D8" s="171" t="str">
        <f>+'CORTE I '!AH17</f>
        <v/>
      </c>
      <c r="E8" s="171" t="str">
        <f>+'CORTE II'!AG17</f>
        <v/>
      </c>
      <c r="F8" s="171" t="str">
        <f>+'CORTE III'!AG17</f>
        <v/>
      </c>
      <c r="G8" s="171">
        <f>+'CORTE III'!AL17</f>
        <v>0</v>
      </c>
      <c r="H8" s="171">
        <f>+'CORTE III'!AM17</f>
        <v>0</v>
      </c>
      <c r="I8" s="171">
        <f>+'CORTE III'!AO17</f>
        <v>0</v>
      </c>
      <c r="J8" s="82">
        <f t="shared" si="0"/>
        <v>0</v>
      </c>
      <c r="L8" s="178"/>
      <c r="M8" s="169" t="s">
        <v>53</v>
      </c>
      <c r="N8" s="169" t="s">
        <v>52</v>
      </c>
      <c r="O8" s="169" t="s">
        <v>51</v>
      </c>
      <c r="P8" s="169" t="s">
        <v>79</v>
      </c>
      <c r="Q8" s="169" t="s">
        <v>80</v>
      </c>
      <c r="R8" s="169" t="s">
        <v>50</v>
      </c>
    </row>
    <row r="9" spans="1:18" x14ac:dyDescent="0.25">
      <c r="A9" s="169">
        <v>7</v>
      </c>
      <c r="B9" s="169">
        <f>'CORTE I '!C18</f>
        <v>0</v>
      </c>
      <c r="C9" s="169" t="str">
        <f>IF('CORTE I '!D18&gt;0,'CORTE I '!D18,"")</f>
        <v/>
      </c>
      <c r="D9" s="171" t="str">
        <f>+'CORTE I '!AH18</f>
        <v/>
      </c>
      <c r="E9" s="171" t="str">
        <f>+'CORTE II'!AG18</f>
        <v/>
      </c>
      <c r="F9" s="171" t="str">
        <f>+'CORTE III'!AG18</f>
        <v/>
      </c>
      <c r="G9" s="171">
        <f>+'CORTE III'!AL18</f>
        <v>0</v>
      </c>
      <c r="H9" s="171">
        <f>+'CORTE III'!AM18</f>
        <v>0</v>
      </c>
      <c r="I9" s="171">
        <f>+'CORTE III'!AO18</f>
        <v>0</v>
      </c>
      <c r="J9" s="82">
        <f t="shared" si="0"/>
        <v>0</v>
      </c>
      <c r="L9" s="179" t="s">
        <v>84</v>
      </c>
      <c r="M9" s="114" t="str">
        <f>IF(ISERROR(COUNTIF(D3:D55,"&gt;=2,999")/$C$56),"",COUNTIF(D3:D55,"&gt;=2,999")/$C$56)</f>
        <v/>
      </c>
      <c r="N9" s="114" t="str">
        <f t="shared" ref="N9:R9" si="1">IF(ISERROR(COUNTIF(E3:E55,"&gt;=2,999")/$C$56),"",COUNTIF(E3:E55,"&gt;=2,999")/$C$56)</f>
        <v/>
      </c>
      <c r="O9" s="114" t="str">
        <f t="shared" si="1"/>
        <v/>
      </c>
      <c r="P9" s="114" t="str">
        <f t="shared" si="1"/>
        <v/>
      </c>
      <c r="Q9" s="114" t="str">
        <f t="shared" si="1"/>
        <v/>
      </c>
      <c r="R9" s="114" t="str">
        <f t="shared" si="1"/>
        <v/>
      </c>
    </row>
    <row r="10" spans="1:18" x14ac:dyDescent="0.25">
      <c r="A10" s="169">
        <v>8</v>
      </c>
      <c r="B10" s="169">
        <f>'CORTE I '!C19</f>
        <v>0</v>
      </c>
      <c r="C10" s="169" t="str">
        <f>IF('CORTE I '!D19&gt;0,'CORTE I '!D19,"")</f>
        <v/>
      </c>
      <c r="D10" s="171" t="str">
        <f>+'CORTE I '!AH19</f>
        <v/>
      </c>
      <c r="E10" s="171" t="str">
        <f>+'CORTE II'!AG19</f>
        <v/>
      </c>
      <c r="F10" s="171" t="str">
        <f>+'CORTE III'!AG19</f>
        <v/>
      </c>
      <c r="G10" s="171">
        <f>+'CORTE III'!AL19</f>
        <v>0</v>
      </c>
      <c r="H10" s="171">
        <f>+'CORTE III'!AM19</f>
        <v>0</v>
      </c>
      <c r="I10" s="171">
        <f>+'CORTE III'!AO19</f>
        <v>0</v>
      </c>
      <c r="J10" s="82">
        <f t="shared" si="0"/>
        <v>0</v>
      </c>
      <c r="L10" s="179" t="s">
        <v>76</v>
      </c>
      <c r="M10" s="80">
        <f>MAX(D3:D55)</f>
        <v>0</v>
      </c>
      <c r="N10" s="80">
        <f t="shared" ref="N10:R10" si="2">MAX(E3:E55)</f>
        <v>0</v>
      </c>
      <c r="O10" s="80">
        <f t="shared" si="2"/>
        <v>0</v>
      </c>
      <c r="P10" s="80">
        <f t="shared" si="2"/>
        <v>4</v>
      </c>
      <c r="Q10" s="80">
        <f t="shared" si="2"/>
        <v>5</v>
      </c>
      <c r="R10" s="80">
        <f t="shared" si="2"/>
        <v>0</v>
      </c>
    </row>
    <row r="11" spans="1:18" x14ac:dyDescent="0.25">
      <c r="A11" s="169">
        <v>9</v>
      </c>
      <c r="B11" s="169">
        <f>'CORTE I '!C20</f>
        <v>0</v>
      </c>
      <c r="C11" s="169" t="str">
        <f>IF('CORTE I '!D20&gt;0,'CORTE I '!D20,"")</f>
        <v/>
      </c>
      <c r="D11" s="171" t="str">
        <f>+'CORTE I '!AH20</f>
        <v/>
      </c>
      <c r="E11" s="171" t="str">
        <f>+'CORTE II'!AG20</f>
        <v/>
      </c>
      <c r="F11" s="171" t="str">
        <f>+'CORTE III'!AG20</f>
        <v/>
      </c>
      <c r="G11" s="171">
        <f>+'CORTE III'!AL20</f>
        <v>0</v>
      </c>
      <c r="H11" s="171">
        <f>+'CORTE III'!AM20</f>
        <v>0</v>
      </c>
      <c r="I11" s="171">
        <f>+'CORTE III'!AO20</f>
        <v>0</v>
      </c>
      <c r="J11" s="82">
        <f t="shared" si="0"/>
        <v>0</v>
      </c>
      <c r="L11" s="179" t="s">
        <v>47</v>
      </c>
      <c r="M11" s="80">
        <f>MIN(D3:D55)</f>
        <v>0</v>
      </c>
      <c r="N11" s="80">
        <f t="shared" ref="N11:R11" si="3">MIN(E3:E55)</f>
        <v>0</v>
      </c>
      <c r="O11" s="80">
        <f t="shared" si="3"/>
        <v>0</v>
      </c>
      <c r="P11" s="80">
        <f t="shared" si="3"/>
        <v>0</v>
      </c>
      <c r="Q11" s="80">
        <f t="shared" si="3"/>
        <v>0</v>
      </c>
      <c r="R11" s="80">
        <f t="shared" si="3"/>
        <v>0</v>
      </c>
    </row>
    <row r="12" spans="1:18" x14ac:dyDescent="0.25">
      <c r="A12" s="169">
        <v>10</v>
      </c>
      <c r="B12" s="169">
        <f>'CORTE I '!C21</f>
        <v>0</v>
      </c>
      <c r="C12" s="169" t="str">
        <f>IF('CORTE I '!D21&gt;0,'CORTE I '!D21,"")</f>
        <v/>
      </c>
      <c r="D12" s="171" t="str">
        <f>+'CORTE I '!AH21</f>
        <v/>
      </c>
      <c r="E12" s="171" t="str">
        <f>+'CORTE II'!AG21</f>
        <v/>
      </c>
      <c r="F12" s="171" t="str">
        <f>+'CORTE III'!AG21</f>
        <v/>
      </c>
      <c r="G12" s="171">
        <f>+'CORTE III'!AL21</f>
        <v>0</v>
      </c>
      <c r="H12" s="171">
        <f>+'CORTE III'!AM21</f>
        <v>0</v>
      </c>
      <c r="I12" s="171">
        <f>+'CORTE III'!AO21</f>
        <v>0</v>
      </c>
      <c r="J12" s="82">
        <f t="shared" si="0"/>
        <v>0</v>
      </c>
      <c r="L12" s="179" t="s">
        <v>48</v>
      </c>
      <c r="M12" s="80" t="str">
        <f>IF(ISERROR(AVERAGE(D3:D55)),"",AVERAGE(D3:D55))</f>
        <v/>
      </c>
      <c r="N12" s="80" t="str">
        <f t="shared" ref="N12:R12" si="4">IF(ISERROR(AVERAGE(E3:E55)),"",AVERAGE(E3:E55))</f>
        <v/>
      </c>
      <c r="O12" s="80" t="str">
        <f t="shared" si="4"/>
        <v/>
      </c>
      <c r="P12" s="80">
        <f t="shared" si="4"/>
        <v>7.5471698113207544E-2</v>
      </c>
      <c r="Q12" s="80">
        <f t="shared" si="4"/>
        <v>9.4339622641509441E-2</v>
      </c>
      <c r="R12" s="80">
        <f t="shared" si="4"/>
        <v>0</v>
      </c>
    </row>
    <row r="13" spans="1:18" x14ac:dyDescent="0.25">
      <c r="A13" s="169">
        <v>11</v>
      </c>
      <c r="B13" s="169">
        <f>'CORTE I '!C22</f>
        <v>0</v>
      </c>
      <c r="C13" s="169" t="str">
        <f>IF('CORTE I '!D22&gt;0,'CORTE I '!D22,"")</f>
        <v/>
      </c>
      <c r="D13" s="171" t="str">
        <f>+'CORTE I '!AH22</f>
        <v/>
      </c>
      <c r="E13" s="171" t="str">
        <f>+'CORTE II'!AG22</f>
        <v/>
      </c>
      <c r="F13" s="171" t="str">
        <f>+'CORTE III'!AG22</f>
        <v/>
      </c>
      <c r="G13" s="171">
        <f>+'CORTE III'!AL22</f>
        <v>0</v>
      </c>
      <c r="H13" s="171">
        <f>+'CORTE III'!AM22</f>
        <v>0</v>
      </c>
      <c r="I13" s="171">
        <f>+'CORTE III'!AO22</f>
        <v>0</v>
      </c>
      <c r="J13" s="82">
        <f t="shared" si="0"/>
        <v>0</v>
      </c>
      <c r="L13" s="179" t="s">
        <v>86</v>
      </c>
      <c r="M13" s="115">
        <f t="shared" ref="M13:R13" si="5">COUNTIF(D$3:D$55,"&gt;=0,01")-COUNTIF(D$3:D$55,"&gt;1,999")</f>
        <v>0</v>
      </c>
      <c r="N13" s="115">
        <f t="shared" si="5"/>
        <v>0</v>
      </c>
      <c r="O13" s="115">
        <f t="shared" si="5"/>
        <v>0</v>
      </c>
      <c r="P13" s="115">
        <f t="shared" si="5"/>
        <v>0</v>
      </c>
      <c r="Q13" s="115">
        <f t="shared" si="5"/>
        <v>0</v>
      </c>
      <c r="R13" s="115">
        <f t="shared" si="5"/>
        <v>0</v>
      </c>
    </row>
    <row r="14" spans="1:18" x14ac:dyDescent="0.25">
      <c r="A14" s="169">
        <v>12</v>
      </c>
      <c r="B14" s="169">
        <f>'CORTE I '!C23</f>
        <v>0</v>
      </c>
      <c r="C14" s="169" t="str">
        <f>IF('CORTE I '!D23&gt;0,'CORTE I '!D23,"")</f>
        <v/>
      </c>
      <c r="D14" s="171" t="str">
        <f>+'CORTE I '!AH23</f>
        <v/>
      </c>
      <c r="E14" s="171" t="str">
        <f>+'CORTE II'!AG23</f>
        <v/>
      </c>
      <c r="F14" s="171" t="str">
        <f>+'CORTE III'!AG23</f>
        <v/>
      </c>
      <c r="G14" s="171">
        <f>+'CORTE III'!AL23</f>
        <v>0</v>
      </c>
      <c r="H14" s="171">
        <f>+'CORTE III'!AM23</f>
        <v>0</v>
      </c>
      <c r="I14" s="171">
        <f>+'CORTE III'!AO23</f>
        <v>0</v>
      </c>
      <c r="J14" s="82">
        <f t="shared" si="0"/>
        <v>0</v>
      </c>
      <c r="L14" s="179" t="s">
        <v>85</v>
      </c>
      <c r="M14" s="115">
        <f>COUNTIF(D$3:D$55,"&gt;=2")-COUNTIF(D$3:D$55,"&gt;=2,999")</f>
        <v>0</v>
      </c>
      <c r="N14" s="115">
        <f t="shared" ref="N14:R14" si="6">COUNTIF(E$3:E$55,"&gt;=2")-COUNTIF(E$3:E$55,"&gt;=2,999")</f>
        <v>0</v>
      </c>
      <c r="O14" s="115">
        <f t="shared" si="6"/>
        <v>0</v>
      </c>
      <c r="P14" s="115">
        <f t="shared" si="6"/>
        <v>1</v>
      </c>
      <c r="Q14" s="115">
        <f t="shared" si="6"/>
        <v>1</v>
      </c>
      <c r="R14" s="115">
        <f t="shared" si="6"/>
        <v>0</v>
      </c>
    </row>
    <row r="15" spans="1:18" x14ac:dyDescent="0.25">
      <c r="A15" s="169">
        <v>13</v>
      </c>
      <c r="B15" s="169">
        <f>'CORTE I '!C24</f>
        <v>0</v>
      </c>
      <c r="C15" s="169" t="str">
        <f>IF('CORTE I '!D24&gt;0,'CORTE I '!D24,"")</f>
        <v/>
      </c>
      <c r="D15" s="171" t="str">
        <f>+'CORTE I '!AH24</f>
        <v/>
      </c>
      <c r="E15" s="171" t="str">
        <f>+'CORTE II'!AG24</f>
        <v/>
      </c>
      <c r="F15" s="171" t="str">
        <f>+'CORTE III'!AG24</f>
        <v/>
      </c>
      <c r="G15" s="171">
        <f>+'CORTE III'!AL24</f>
        <v>0</v>
      </c>
      <c r="H15" s="171">
        <f>+'CORTE III'!AM24</f>
        <v>0</v>
      </c>
      <c r="I15" s="171">
        <f>+'CORTE III'!AO24</f>
        <v>0</v>
      </c>
      <c r="J15" s="82">
        <f t="shared" si="0"/>
        <v>0</v>
      </c>
      <c r="L15" s="179" t="s">
        <v>87</v>
      </c>
      <c r="M15" s="115">
        <f t="shared" ref="M15:R15" si="7">COUNTIF(D$3:D$55,"&gt;=3")-COUNTIF(D$3:D$55,"&gt;3,999")</f>
        <v>0</v>
      </c>
      <c r="N15" s="115">
        <f t="shared" si="7"/>
        <v>0</v>
      </c>
      <c r="O15" s="115">
        <f t="shared" si="7"/>
        <v>0</v>
      </c>
      <c r="P15" s="115">
        <f t="shared" si="7"/>
        <v>1</v>
      </c>
      <c r="Q15" s="115">
        <f t="shared" si="7"/>
        <v>1</v>
      </c>
      <c r="R15" s="115">
        <f t="shared" si="7"/>
        <v>0</v>
      </c>
    </row>
    <row r="16" spans="1:18" x14ac:dyDescent="0.25">
      <c r="A16" s="169">
        <v>14</v>
      </c>
      <c r="B16" s="169">
        <f>'CORTE I '!C25</f>
        <v>0</v>
      </c>
      <c r="C16" s="169" t="str">
        <f>IF('CORTE I '!D25&gt;0,'CORTE I '!D25,"")</f>
        <v/>
      </c>
      <c r="D16" s="171" t="str">
        <f>+'CORTE I '!AH25</f>
        <v/>
      </c>
      <c r="E16" s="171" t="str">
        <f>+'CORTE II'!AG25</f>
        <v/>
      </c>
      <c r="F16" s="171" t="str">
        <f>+'CORTE III'!AG25</f>
        <v/>
      </c>
      <c r="G16" s="171">
        <f>+'CORTE III'!AL25</f>
        <v>0</v>
      </c>
      <c r="H16" s="171">
        <f>+'CORTE III'!AM25</f>
        <v>0</v>
      </c>
      <c r="I16" s="171">
        <f>+'CORTE III'!AO25</f>
        <v>0</v>
      </c>
      <c r="J16" s="82">
        <f t="shared" si="0"/>
        <v>0</v>
      </c>
      <c r="L16" s="179" t="s">
        <v>49</v>
      </c>
      <c r="M16" s="72">
        <f>COUNTIF(D$3:D$55,"&gt;=4")</f>
        <v>0</v>
      </c>
      <c r="N16" s="166">
        <f t="shared" ref="N16:R16" si="8">COUNTIF(E$3:E$55,"&gt;=4")</f>
        <v>0</v>
      </c>
      <c r="O16" s="166">
        <f t="shared" si="8"/>
        <v>0</v>
      </c>
      <c r="P16" s="166">
        <f t="shared" si="8"/>
        <v>1</v>
      </c>
      <c r="Q16" s="166">
        <f t="shared" si="8"/>
        <v>1</v>
      </c>
      <c r="R16" s="166">
        <f t="shared" si="8"/>
        <v>0</v>
      </c>
    </row>
    <row r="17" spans="1:10" x14ac:dyDescent="0.25">
      <c r="A17" s="169">
        <v>15</v>
      </c>
      <c r="B17" s="169">
        <f>'CORTE I '!C26</f>
        <v>0</v>
      </c>
      <c r="C17" s="169" t="str">
        <f>IF('CORTE I '!D26&gt;0,'CORTE I '!D26,"")</f>
        <v/>
      </c>
      <c r="D17" s="171" t="str">
        <f>+'CORTE I '!AH26</f>
        <v/>
      </c>
      <c r="E17" s="171" t="str">
        <f>+'CORTE II'!AG26</f>
        <v/>
      </c>
      <c r="F17" s="171" t="str">
        <f>+'CORTE III'!AG26</f>
        <v/>
      </c>
      <c r="G17" s="171">
        <f>+'CORTE III'!AL26</f>
        <v>0</v>
      </c>
      <c r="H17" s="171">
        <f>+'CORTE III'!AM26</f>
        <v>0</v>
      </c>
      <c r="I17" s="171">
        <f>+'CORTE III'!AO26</f>
        <v>0</v>
      </c>
      <c r="J17" s="82">
        <f t="shared" si="0"/>
        <v>0</v>
      </c>
    </row>
    <row r="18" spans="1:10" x14ac:dyDescent="0.25">
      <c r="A18" s="169">
        <v>16</v>
      </c>
      <c r="B18" s="169">
        <f>'CORTE I '!C27</f>
        <v>0</v>
      </c>
      <c r="C18" s="169" t="str">
        <f>IF('CORTE I '!D27&gt;0,'CORTE I '!D27,"")</f>
        <v/>
      </c>
      <c r="D18" s="171" t="str">
        <f>+'CORTE I '!AH27</f>
        <v/>
      </c>
      <c r="E18" s="171" t="str">
        <f>+'CORTE II'!AG27</f>
        <v/>
      </c>
      <c r="F18" s="171" t="str">
        <f>+'CORTE III'!AG27</f>
        <v/>
      </c>
      <c r="G18" s="171">
        <f>+'CORTE III'!AL27</f>
        <v>0</v>
      </c>
      <c r="H18" s="171">
        <f>+'CORTE III'!AM27</f>
        <v>0</v>
      </c>
      <c r="I18" s="171">
        <f>+'CORTE III'!AO27</f>
        <v>0</v>
      </c>
      <c r="J18" s="82">
        <f t="shared" si="0"/>
        <v>0</v>
      </c>
    </row>
    <row r="19" spans="1:10" x14ac:dyDescent="0.25">
      <c r="A19" s="169">
        <v>17</v>
      </c>
      <c r="B19" s="169">
        <f>'CORTE I '!C28</f>
        <v>0</v>
      </c>
      <c r="C19" s="169" t="str">
        <f>IF('CORTE I '!D28&gt;0,'CORTE I '!D28,"")</f>
        <v/>
      </c>
      <c r="D19" s="171" t="str">
        <f>+'CORTE I '!AH28</f>
        <v/>
      </c>
      <c r="E19" s="171" t="str">
        <f>+'CORTE II'!AG28</f>
        <v/>
      </c>
      <c r="F19" s="171" t="str">
        <f>+'CORTE III'!AG28</f>
        <v/>
      </c>
      <c r="G19" s="171">
        <f>+'CORTE III'!AL28</f>
        <v>0</v>
      </c>
      <c r="H19" s="171">
        <f>+'CORTE III'!AM28</f>
        <v>0</v>
      </c>
      <c r="I19" s="171">
        <f>+'CORTE III'!AO28</f>
        <v>0</v>
      </c>
      <c r="J19" s="82">
        <f t="shared" si="0"/>
        <v>0</v>
      </c>
    </row>
    <row r="20" spans="1:10" x14ac:dyDescent="0.25">
      <c r="A20" s="169">
        <v>18</v>
      </c>
      <c r="B20" s="169">
        <f>'CORTE I '!C29</f>
        <v>0</v>
      </c>
      <c r="C20" s="169" t="str">
        <f>IF('CORTE I '!D29&gt;0,'CORTE I '!D29,"")</f>
        <v/>
      </c>
      <c r="D20" s="171" t="str">
        <f>+'CORTE I '!AH29</f>
        <v/>
      </c>
      <c r="E20" s="171" t="str">
        <f>+'CORTE II'!AG29</f>
        <v/>
      </c>
      <c r="F20" s="171" t="str">
        <f>+'CORTE III'!AG29</f>
        <v/>
      </c>
      <c r="G20" s="171">
        <f>+'CORTE III'!AL29</f>
        <v>0</v>
      </c>
      <c r="H20" s="171">
        <f>+'CORTE III'!AM29</f>
        <v>0</v>
      </c>
      <c r="I20" s="171">
        <f>+'CORTE III'!AO29</f>
        <v>0</v>
      </c>
      <c r="J20" s="82">
        <f t="shared" si="0"/>
        <v>0</v>
      </c>
    </row>
    <row r="21" spans="1:10" x14ac:dyDescent="0.25">
      <c r="A21" s="169">
        <v>19</v>
      </c>
      <c r="B21" s="169">
        <f>'CORTE I '!C30</f>
        <v>0</v>
      </c>
      <c r="C21" s="169" t="str">
        <f>IF('CORTE I '!D30&gt;0,'CORTE I '!D30,"")</f>
        <v/>
      </c>
      <c r="D21" s="171" t="str">
        <f>+'CORTE I '!AH30</f>
        <v/>
      </c>
      <c r="E21" s="171" t="str">
        <f>+'CORTE II'!AG30</f>
        <v/>
      </c>
      <c r="F21" s="171" t="str">
        <f>+'CORTE III'!AG30</f>
        <v/>
      </c>
      <c r="G21" s="171">
        <f>+'CORTE III'!AL30</f>
        <v>0</v>
      </c>
      <c r="H21" s="171">
        <f>+'CORTE III'!AM30</f>
        <v>0</v>
      </c>
      <c r="I21" s="171">
        <f>+'CORTE III'!AO30</f>
        <v>0</v>
      </c>
      <c r="J21" s="82">
        <f t="shared" si="0"/>
        <v>0</v>
      </c>
    </row>
    <row r="22" spans="1:10" x14ac:dyDescent="0.25">
      <c r="A22" s="169">
        <v>20</v>
      </c>
      <c r="B22" s="169">
        <f>'CORTE I '!C31</f>
        <v>0</v>
      </c>
      <c r="C22" s="169" t="str">
        <f>IF('CORTE I '!D31&gt;0,'CORTE I '!D31,"")</f>
        <v/>
      </c>
      <c r="D22" s="171" t="str">
        <f>+'CORTE I '!AH31</f>
        <v/>
      </c>
      <c r="E22" s="171" t="str">
        <f>+'CORTE II'!AG31</f>
        <v/>
      </c>
      <c r="F22" s="171" t="str">
        <f>+'CORTE III'!AG31</f>
        <v/>
      </c>
      <c r="G22" s="171">
        <f>+'CORTE III'!AL31</f>
        <v>0</v>
      </c>
      <c r="H22" s="171">
        <f>+'CORTE III'!AM31</f>
        <v>0</v>
      </c>
      <c r="I22" s="171">
        <f>+'CORTE III'!AO31</f>
        <v>0</v>
      </c>
      <c r="J22" s="82">
        <f t="shared" si="0"/>
        <v>0</v>
      </c>
    </row>
    <row r="23" spans="1:10" x14ac:dyDescent="0.25">
      <c r="A23" s="169">
        <v>21</v>
      </c>
      <c r="B23" s="169">
        <f>'CORTE I '!C32</f>
        <v>0</v>
      </c>
      <c r="C23" s="169" t="str">
        <f>IF('CORTE I '!D32&gt;0,'CORTE I '!D32,"")</f>
        <v/>
      </c>
      <c r="D23" s="171" t="str">
        <f>+'CORTE I '!AH32</f>
        <v/>
      </c>
      <c r="E23" s="171" t="str">
        <f>+'CORTE II'!AG32</f>
        <v/>
      </c>
      <c r="F23" s="171" t="str">
        <f>+'CORTE III'!AG32</f>
        <v/>
      </c>
      <c r="G23" s="171">
        <f>+'CORTE III'!AL32</f>
        <v>0</v>
      </c>
      <c r="H23" s="171">
        <f>+'CORTE III'!AM32</f>
        <v>0</v>
      </c>
      <c r="I23" s="171">
        <f>+'CORTE III'!AO32</f>
        <v>0</v>
      </c>
      <c r="J23" s="82">
        <f t="shared" si="0"/>
        <v>0</v>
      </c>
    </row>
    <row r="24" spans="1:10" x14ac:dyDescent="0.25">
      <c r="A24" s="169">
        <v>22</v>
      </c>
      <c r="B24" s="169">
        <f>'CORTE I '!C33</f>
        <v>0</v>
      </c>
      <c r="C24" s="169" t="str">
        <f>IF('CORTE I '!D33&gt;0,'CORTE I '!D33,"")</f>
        <v/>
      </c>
      <c r="D24" s="171" t="str">
        <f>+'CORTE I '!AH33</f>
        <v/>
      </c>
      <c r="E24" s="171" t="str">
        <f>+'CORTE II'!AG33</f>
        <v/>
      </c>
      <c r="F24" s="171" t="str">
        <f>+'CORTE III'!AG33</f>
        <v/>
      </c>
      <c r="G24" s="171">
        <f>+'CORTE III'!AL33</f>
        <v>0</v>
      </c>
      <c r="H24" s="171">
        <f>+'CORTE III'!AM33</f>
        <v>0</v>
      </c>
      <c r="I24" s="171">
        <f>+'CORTE III'!AO33</f>
        <v>0</v>
      </c>
      <c r="J24" s="82">
        <f t="shared" si="0"/>
        <v>0</v>
      </c>
    </row>
    <row r="25" spans="1:10" x14ac:dyDescent="0.25">
      <c r="A25" s="169">
        <v>23</v>
      </c>
      <c r="B25" s="169">
        <f>'CORTE I '!C34</f>
        <v>0</v>
      </c>
      <c r="C25" s="169" t="str">
        <f>IF('CORTE I '!D34&gt;0,'CORTE I '!D34,"")</f>
        <v/>
      </c>
      <c r="D25" s="171" t="str">
        <f>+'CORTE I '!AH34</f>
        <v/>
      </c>
      <c r="E25" s="171" t="str">
        <f>+'CORTE II'!AG34</f>
        <v/>
      </c>
      <c r="F25" s="171" t="str">
        <f>+'CORTE III'!AG34</f>
        <v/>
      </c>
      <c r="G25" s="171">
        <f>+'CORTE III'!AL34</f>
        <v>0</v>
      </c>
      <c r="H25" s="171">
        <f>+'CORTE III'!AM34</f>
        <v>0</v>
      </c>
      <c r="I25" s="171">
        <f>+'CORTE III'!AO34</f>
        <v>0</v>
      </c>
      <c r="J25" s="82">
        <f t="shared" si="0"/>
        <v>0</v>
      </c>
    </row>
    <row r="26" spans="1:10" x14ac:dyDescent="0.25">
      <c r="A26" s="169">
        <v>24</v>
      </c>
      <c r="B26" s="169">
        <f>'CORTE I '!C35</f>
        <v>0</v>
      </c>
      <c r="C26" s="169" t="str">
        <f>IF('CORTE I '!D35&gt;0,'CORTE I '!D35,"")</f>
        <v/>
      </c>
      <c r="D26" s="171" t="str">
        <f>+'CORTE I '!AH35</f>
        <v/>
      </c>
      <c r="E26" s="171" t="str">
        <f>+'CORTE II'!AG35</f>
        <v/>
      </c>
      <c r="F26" s="171" t="str">
        <f>+'CORTE III'!AG35</f>
        <v/>
      </c>
      <c r="G26" s="171">
        <f>+'CORTE III'!AL35</f>
        <v>0</v>
      </c>
      <c r="H26" s="171">
        <f>+'CORTE III'!AM35</f>
        <v>0</v>
      </c>
      <c r="I26" s="171">
        <f>+'CORTE III'!AO35</f>
        <v>0</v>
      </c>
      <c r="J26" s="82">
        <f t="shared" si="0"/>
        <v>0</v>
      </c>
    </row>
    <row r="27" spans="1:10" x14ac:dyDescent="0.25">
      <c r="A27" s="169">
        <v>25</v>
      </c>
      <c r="B27" s="169">
        <f>'CORTE I '!C36</f>
        <v>0</v>
      </c>
      <c r="C27" s="169" t="str">
        <f>IF('CORTE I '!D36&gt;0,'CORTE I '!D36,"")</f>
        <v/>
      </c>
      <c r="D27" s="171" t="str">
        <f>+'CORTE I '!AH36</f>
        <v/>
      </c>
      <c r="E27" s="171" t="str">
        <f>+'CORTE II'!AG36</f>
        <v/>
      </c>
      <c r="F27" s="171" t="str">
        <f>+'CORTE III'!AG36</f>
        <v/>
      </c>
      <c r="G27" s="171">
        <f>+'CORTE III'!AL36</f>
        <v>0</v>
      </c>
      <c r="H27" s="171">
        <f>+'CORTE III'!AM36</f>
        <v>0</v>
      </c>
      <c r="I27" s="171">
        <f>+'CORTE III'!AO36</f>
        <v>0</v>
      </c>
      <c r="J27" s="82">
        <f t="shared" si="0"/>
        <v>0</v>
      </c>
    </row>
    <row r="28" spans="1:10" x14ac:dyDescent="0.25">
      <c r="A28" s="169">
        <v>26</v>
      </c>
      <c r="B28" s="169">
        <f>'CORTE I '!C37</f>
        <v>0</v>
      </c>
      <c r="C28" s="169" t="str">
        <f>IF('CORTE I '!D37&gt;0,'CORTE I '!D37,"")</f>
        <v/>
      </c>
      <c r="D28" s="171" t="str">
        <f>+'CORTE I '!AH37</f>
        <v/>
      </c>
      <c r="E28" s="171" t="str">
        <f>+'CORTE II'!AG37</f>
        <v/>
      </c>
      <c r="F28" s="171" t="str">
        <f>+'CORTE III'!AG37</f>
        <v/>
      </c>
      <c r="G28" s="171">
        <f>+'CORTE III'!AL37</f>
        <v>0</v>
      </c>
      <c r="H28" s="171">
        <f>+'CORTE III'!AM37</f>
        <v>0</v>
      </c>
      <c r="I28" s="171">
        <f>+'CORTE III'!AO37</f>
        <v>0</v>
      </c>
      <c r="J28" s="82">
        <f t="shared" si="0"/>
        <v>0</v>
      </c>
    </row>
    <row r="29" spans="1:10" x14ac:dyDescent="0.25">
      <c r="A29" s="169">
        <v>27</v>
      </c>
      <c r="B29" s="169">
        <f>'CORTE I '!C38</f>
        <v>0</v>
      </c>
      <c r="C29" s="169" t="str">
        <f>IF('CORTE I '!D38&gt;0,'CORTE I '!D38,"")</f>
        <v/>
      </c>
      <c r="D29" s="171" t="str">
        <f>+'CORTE I '!AH38</f>
        <v/>
      </c>
      <c r="E29" s="171" t="str">
        <f>+'CORTE II'!AG38</f>
        <v/>
      </c>
      <c r="F29" s="171" t="str">
        <f>+'CORTE III'!AG38</f>
        <v/>
      </c>
      <c r="G29" s="171">
        <f>+'CORTE III'!AL38</f>
        <v>0</v>
      </c>
      <c r="H29" s="171">
        <f>+'CORTE III'!AM38</f>
        <v>0</v>
      </c>
      <c r="I29" s="171">
        <f>+'CORTE III'!AO38</f>
        <v>0</v>
      </c>
      <c r="J29" s="82">
        <f t="shared" si="0"/>
        <v>0</v>
      </c>
    </row>
    <row r="30" spans="1:10" x14ac:dyDescent="0.25">
      <c r="A30" s="169">
        <v>28</v>
      </c>
      <c r="B30" s="169">
        <f>'CORTE I '!C39</f>
        <v>0</v>
      </c>
      <c r="C30" s="169" t="str">
        <f>IF('CORTE I '!D39&gt;0,'CORTE I '!D39,"")</f>
        <v/>
      </c>
      <c r="D30" s="171" t="str">
        <f>+'CORTE I '!AH39</f>
        <v/>
      </c>
      <c r="E30" s="171" t="str">
        <f>+'CORTE II'!AG39</f>
        <v/>
      </c>
      <c r="F30" s="171" t="str">
        <f>+'CORTE III'!AG39</f>
        <v/>
      </c>
      <c r="G30" s="171">
        <f>+'CORTE III'!AL39</f>
        <v>0</v>
      </c>
      <c r="H30" s="171">
        <f>+'CORTE III'!AM39</f>
        <v>0</v>
      </c>
      <c r="I30" s="171">
        <f>+'CORTE III'!AO39</f>
        <v>0</v>
      </c>
      <c r="J30" s="82">
        <f t="shared" si="0"/>
        <v>0</v>
      </c>
    </row>
    <row r="31" spans="1:10" x14ac:dyDescent="0.25">
      <c r="A31" s="169">
        <v>29</v>
      </c>
      <c r="B31" s="169">
        <f>'CORTE I '!C40</f>
        <v>0</v>
      </c>
      <c r="C31" s="169" t="str">
        <f>IF('CORTE I '!D40&gt;0,'CORTE I '!D40,"")</f>
        <v/>
      </c>
      <c r="D31" s="171" t="str">
        <f>+'CORTE I '!AH40</f>
        <v/>
      </c>
      <c r="E31" s="171" t="str">
        <f>+'CORTE II'!AG40</f>
        <v/>
      </c>
      <c r="F31" s="171" t="str">
        <f>+'CORTE III'!AG40</f>
        <v/>
      </c>
      <c r="G31" s="171">
        <f>+'CORTE III'!AL40</f>
        <v>0</v>
      </c>
      <c r="H31" s="171">
        <f>+'CORTE III'!AM40</f>
        <v>0</v>
      </c>
      <c r="I31" s="171">
        <f>+'CORTE III'!AO40</f>
        <v>0</v>
      </c>
      <c r="J31" s="82">
        <f t="shared" si="0"/>
        <v>0</v>
      </c>
    </row>
    <row r="32" spans="1:10" x14ac:dyDescent="0.25">
      <c r="A32" s="169">
        <v>30</v>
      </c>
      <c r="B32" s="169">
        <f>'CORTE I '!C41</f>
        <v>0</v>
      </c>
      <c r="C32" s="169" t="str">
        <f>IF('CORTE I '!D41&gt;0,'CORTE I '!D41,"")</f>
        <v/>
      </c>
      <c r="D32" s="171" t="str">
        <f>+'CORTE I '!AH41</f>
        <v/>
      </c>
      <c r="E32" s="171" t="str">
        <f>+'CORTE II'!AG41</f>
        <v/>
      </c>
      <c r="F32" s="171" t="str">
        <f>+'CORTE III'!AG41</f>
        <v/>
      </c>
      <c r="G32" s="171">
        <f>+'CORTE III'!AL41</f>
        <v>0</v>
      </c>
      <c r="H32" s="171">
        <f>+'CORTE III'!AM41</f>
        <v>0</v>
      </c>
      <c r="I32" s="171">
        <f>+'CORTE III'!AO41</f>
        <v>0</v>
      </c>
      <c r="J32" s="82">
        <f t="shared" si="0"/>
        <v>0</v>
      </c>
    </row>
    <row r="33" spans="1:10" x14ac:dyDescent="0.25">
      <c r="A33" s="169">
        <v>31</v>
      </c>
      <c r="B33" s="169">
        <f>'CORTE I '!C42</f>
        <v>0</v>
      </c>
      <c r="C33" s="169" t="str">
        <f>IF('CORTE I '!D42&gt;0,'CORTE I '!D42,"")</f>
        <v/>
      </c>
      <c r="D33" s="171" t="str">
        <f>+'CORTE I '!AH42</f>
        <v/>
      </c>
      <c r="E33" s="171" t="str">
        <f>+'CORTE II'!AG42</f>
        <v/>
      </c>
      <c r="F33" s="171" t="str">
        <f>+'CORTE III'!AG42</f>
        <v/>
      </c>
      <c r="G33" s="171">
        <f>+'CORTE III'!AL42</f>
        <v>0</v>
      </c>
      <c r="H33" s="171">
        <f>+'CORTE III'!AM42</f>
        <v>0</v>
      </c>
      <c r="I33" s="171">
        <f>+'CORTE III'!AO42</f>
        <v>0</v>
      </c>
      <c r="J33" s="82">
        <f t="shared" si="0"/>
        <v>0</v>
      </c>
    </row>
    <row r="34" spans="1:10" x14ac:dyDescent="0.25">
      <c r="A34" s="169">
        <v>32</v>
      </c>
      <c r="B34" s="169">
        <f>'CORTE I '!C43</f>
        <v>0</v>
      </c>
      <c r="C34" s="169" t="str">
        <f>IF('CORTE I '!D43&gt;0,'CORTE I '!D43,"")</f>
        <v/>
      </c>
      <c r="D34" s="171" t="str">
        <f>+'CORTE I '!AH43</f>
        <v/>
      </c>
      <c r="E34" s="171" t="str">
        <f>+'CORTE II'!AG43</f>
        <v/>
      </c>
      <c r="F34" s="171" t="str">
        <f>+'CORTE III'!AG43</f>
        <v/>
      </c>
      <c r="G34" s="171">
        <f>+'CORTE III'!AL43</f>
        <v>0</v>
      </c>
      <c r="H34" s="171">
        <f>+'CORTE III'!AM43</f>
        <v>0</v>
      </c>
      <c r="I34" s="171">
        <f>+'CORTE III'!AO43</f>
        <v>0</v>
      </c>
      <c r="J34" s="82">
        <f t="shared" si="0"/>
        <v>0</v>
      </c>
    </row>
    <row r="35" spans="1:10" x14ac:dyDescent="0.25">
      <c r="A35" s="169">
        <v>33</v>
      </c>
      <c r="B35" s="169">
        <f>'CORTE I '!C44</f>
        <v>0</v>
      </c>
      <c r="C35" s="169" t="str">
        <f>IF('CORTE I '!D44&gt;0,'CORTE I '!D44,"")</f>
        <v/>
      </c>
      <c r="D35" s="171" t="str">
        <f>+'CORTE I '!AH44</f>
        <v/>
      </c>
      <c r="E35" s="171" t="str">
        <f>+'CORTE II'!AG44</f>
        <v/>
      </c>
      <c r="F35" s="171" t="str">
        <f>+'CORTE III'!AG44</f>
        <v/>
      </c>
      <c r="G35" s="171">
        <f>+'CORTE III'!AL44</f>
        <v>0</v>
      </c>
      <c r="H35" s="171">
        <f>+'CORTE III'!AM44</f>
        <v>0</v>
      </c>
      <c r="I35" s="171">
        <f>+'CORTE III'!AO44</f>
        <v>0</v>
      </c>
      <c r="J35" s="82">
        <f t="shared" si="0"/>
        <v>0</v>
      </c>
    </row>
    <row r="36" spans="1:10" x14ac:dyDescent="0.25">
      <c r="A36" s="169">
        <v>34</v>
      </c>
      <c r="B36" s="169">
        <f>'CORTE I '!C45</f>
        <v>0</v>
      </c>
      <c r="C36" s="169" t="str">
        <f>IF('CORTE I '!D45&gt;0,'CORTE I '!D45,"")</f>
        <v/>
      </c>
      <c r="D36" s="171" t="str">
        <f>+'CORTE I '!AH45</f>
        <v/>
      </c>
      <c r="E36" s="171" t="str">
        <f>+'CORTE II'!AG45</f>
        <v/>
      </c>
      <c r="F36" s="171" t="str">
        <f>+'CORTE III'!AG45</f>
        <v/>
      </c>
      <c r="G36" s="171">
        <f>+'CORTE III'!AL45</f>
        <v>0</v>
      </c>
      <c r="H36" s="171">
        <f>+'CORTE III'!AM45</f>
        <v>0</v>
      </c>
      <c r="I36" s="171">
        <f>+'CORTE III'!AO45</f>
        <v>0</v>
      </c>
      <c r="J36" s="82">
        <f t="shared" si="0"/>
        <v>0</v>
      </c>
    </row>
    <row r="37" spans="1:10" x14ac:dyDescent="0.25">
      <c r="A37" s="169">
        <v>35</v>
      </c>
      <c r="B37" s="169">
        <f>'CORTE I '!C46</f>
        <v>0</v>
      </c>
      <c r="C37" s="169" t="str">
        <f>IF('CORTE I '!D46&gt;0,'CORTE I '!D46,"")</f>
        <v/>
      </c>
      <c r="D37" s="171" t="str">
        <f>+'CORTE I '!AH46</f>
        <v/>
      </c>
      <c r="E37" s="171" t="str">
        <f>+'CORTE II'!AG46</f>
        <v/>
      </c>
      <c r="F37" s="171" t="str">
        <f>+'CORTE III'!AG46</f>
        <v/>
      </c>
      <c r="G37" s="171">
        <f>+'CORTE III'!AL46</f>
        <v>0</v>
      </c>
      <c r="H37" s="171">
        <f>+'CORTE III'!AM46</f>
        <v>0</v>
      </c>
      <c r="I37" s="171">
        <f>+'CORTE III'!AO46</f>
        <v>0</v>
      </c>
      <c r="J37" s="82">
        <f t="shared" si="0"/>
        <v>0</v>
      </c>
    </row>
    <row r="38" spans="1:10" x14ac:dyDescent="0.25">
      <c r="A38" s="169">
        <v>36</v>
      </c>
      <c r="B38" s="169">
        <f>'CORTE I '!C47</f>
        <v>0</v>
      </c>
      <c r="C38" s="169" t="str">
        <f>IF('CORTE I '!D47&gt;0,'CORTE I '!D47,"")</f>
        <v/>
      </c>
      <c r="D38" s="171" t="str">
        <f>+'CORTE I '!AH47</f>
        <v/>
      </c>
      <c r="E38" s="171" t="str">
        <f>+'CORTE II'!AG47</f>
        <v/>
      </c>
      <c r="F38" s="171" t="str">
        <f>+'CORTE III'!AG47</f>
        <v/>
      </c>
      <c r="G38" s="171">
        <f>+'CORTE III'!AL47</f>
        <v>0</v>
      </c>
      <c r="H38" s="171">
        <f>+'CORTE III'!AM47</f>
        <v>0</v>
      </c>
      <c r="I38" s="171">
        <f>+'CORTE III'!AO47</f>
        <v>0</v>
      </c>
      <c r="J38" s="82">
        <f t="shared" si="0"/>
        <v>0</v>
      </c>
    </row>
    <row r="39" spans="1:10" x14ac:dyDescent="0.25">
      <c r="A39" s="169">
        <v>37</v>
      </c>
      <c r="B39" s="169">
        <f>'CORTE I '!C48</f>
        <v>0</v>
      </c>
      <c r="C39" s="169" t="str">
        <f>IF('CORTE I '!D48&gt;0,'CORTE I '!D48,"")</f>
        <v/>
      </c>
      <c r="D39" s="171" t="str">
        <f>+'CORTE I '!AH48</f>
        <v/>
      </c>
      <c r="E39" s="171" t="str">
        <f>+'CORTE II'!AG48</f>
        <v/>
      </c>
      <c r="F39" s="171" t="str">
        <f>+'CORTE III'!AG48</f>
        <v/>
      </c>
      <c r="G39" s="171">
        <f>+'CORTE III'!AL48</f>
        <v>0</v>
      </c>
      <c r="H39" s="171">
        <f>+'CORTE III'!AM48</f>
        <v>0</v>
      </c>
      <c r="I39" s="171">
        <f>+'CORTE III'!AO48</f>
        <v>0</v>
      </c>
      <c r="J39" s="82">
        <f t="shared" si="0"/>
        <v>0</v>
      </c>
    </row>
    <row r="40" spans="1:10" x14ac:dyDescent="0.25">
      <c r="A40" s="169">
        <v>38</v>
      </c>
      <c r="B40" s="169">
        <f>'CORTE I '!C49</f>
        <v>0</v>
      </c>
      <c r="C40" s="169" t="str">
        <f>IF('CORTE I '!D49&gt;0,'CORTE I '!D49,"")</f>
        <v/>
      </c>
      <c r="D40" s="171" t="str">
        <f>+'CORTE I '!AH49</f>
        <v/>
      </c>
      <c r="E40" s="171" t="str">
        <f>+'CORTE II'!AG49</f>
        <v/>
      </c>
      <c r="F40" s="171" t="str">
        <f>+'CORTE III'!AG49</f>
        <v/>
      </c>
      <c r="G40" s="171">
        <f>+'CORTE III'!AL49</f>
        <v>0</v>
      </c>
      <c r="H40" s="171">
        <f>+'CORTE III'!AM49</f>
        <v>0</v>
      </c>
      <c r="I40" s="171">
        <f>+'CORTE III'!AO49</f>
        <v>0</v>
      </c>
      <c r="J40" s="82">
        <f t="shared" si="0"/>
        <v>0</v>
      </c>
    </row>
    <row r="41" spans="1:10" x14ac:dyDescent="0.25">
      <c r="A41" s="169">
        <v>39</v>
      </c>
      <c r="B41" s="169">
        <f>'CORTE I '!C50</f>
        <v>0</v>
      </c>
      <c r="C41" s="169" t="str">
        <f>IF('CORTE I '!D50&gt;0,'CORTE I '!D50,"")</f>
        <v/>
      </c>
      <c r="D41" s="171" t="str">
        <f>+'CORTE I '!AH50</f>
        <v/>
      </c>
      <c r="E41" s="171" t="str">
        <f>+'CORTE II'!AG50</f>
        <v/>
      </c>
      <c r="F41" s="171" t="str">
        <f>+'CORTE III'!AG50</f>
        <v/>
      </c>
      <c r="G41" s="171">
        <f>+'CORTE III'!AL50</f>
        <v>0</v>
      </c>
      <c r="H41" s="171">
        <f>+'CORTE III'!AM50</f>
        <v>0</v>
      </c>
      <c r="I41" s="171">
        <f>+'CORTE III'!AO50</f>
        <v>0</v>
      </c>
      <c r="J41" s="82">
        <f t="shared" si="0"/>
        <v>0</v>
      </c>
    </row>
    <row r="42" spans="1:10" x14ac:dyDescent="0.25">
      <c r="A42" s="169">
        <v>40</v>
      </c>
      <c r="B42" s="169">
        <f>'CORTE I '!C51</f>
        <v>0</v>
      </c>
      <c r="C42" s="169" t="str">
        <f>IF('CORTE I '!D51&gt;0,'CORTE I '!D51,"")</f>
        <v/>
      </c>
      <c r="D42" s="171" t="str">
        <f>+'CORTE I '!AH51</f>
        <v/>
      </c>
      <c r="E42" s="171" t="str">
        <f>+'CORTE II'!AG51</f>
        <v/>
      </c>
      <c r="F42" s="171" t="str">
        <f>+'CORTE III'!AG51</f>
        <v/>
      </c>
      <c r="G42" s="171">
        <f>+'CORTE III'!AL51</f>
        <v>0</v>
      </c>
      <c r="H42" s="171">
        <f>+'CORTE III'!AM51</f>
        <v>0</v>
      </c>
      <c r="I42" s="171">
        <f>+'CORTE III'!AO51</f>
        <v>0</v>
      </c>
      <c r="J42" s="82">
        <f t="shared" si="0"/>
        <v>0</v>
      </c>
    </row>
    <row r="43" spans="1:10" x14ac:dyDescent="0.25">
      <c r="A43" s="169">
        <v>41</v>
      </c>
      <c r="B43" s="169">
        <f>'CORTE I '!C52</f>
        <v>0</v>
      </c>
      <c r="C43" s="169" t="str">
        <f>IF('CORTE I '!D52&gt;0,'CORTE I '!D52,"")</f>
        <v/>
      </c>
      <c r="D43" s="171" t="str">
        <f>+'CORTE I '!AH52</f>
        <v/>
      </c>
      <c r="E43" s="171" t="str">
        <f>+'CORTE II'!AG52</f>
        <v/>
      </c>
      <c r="F43" s="171" t="str">
        <f>+'CORTE III'!AG52</f>
        <v/>
      </c>
      <c r="G43" s="171">
        <f>+'CORTE III'!AL52</f>
        <v>0</v>
      </c>
      <c r="H43" s="171">
        <f>+'CORTE III'!AM52</f>
        <v>0</v>
      </c>
      <c r="I43" s="171">
        <f>+'CORTE III'!AO52</f>
        <v>0</v>
      </c>
      <c r="J43" s="82">
        <f t="shared" si="0"/>
        <v>0</v>
      </c>
    </row>
    <row r="44" spans="1:10" x14ac:dyDescent="0.25">
      <c r="A44" s="169">
        <v>42</v>
      </c>
      <c r="B44" s="169">
        <f>'CORTE I '!C53</f>
        <v>0</v>
      </c>
      <c r="C44" s="169" t="str">
        <f>IF('CORTE I '!D53&gt;0,'CORTE I '!D53,"")</f>
        <v/>
      </c>
      <c r="D44" s="171" t="str">
        <f>+'CORTE I '!AH53</f>
        <v/>
      </c>
      <c r="E44" s="171" t="str">
        <f>+'CORTE II'!AG53</f>
        <v/>
      </c>
      <c r="F44" s="171" t="str">
        <f>+'CORTE III'!AG53</f>
        <v/>
      </c>
      <c r="G44" s="171">
        <f>+'CORTE III'!AL53</f>
        <v>0</v>
      </c>
      <c r="H44" s="171">
        <f>+'CORTE III'!AM53</f>
        <v>0</v>
      </c>
      <c r="I44" s="171">
        <f>+'CORTE III'!AO53</f>
        <v>0</v>
      </c>
      <c r="J44" s="82">
        <f t="shared" si="0"/>
        <v>0</v>
      </c>
    </row>
    <row r="45" spans="1:10" x14ac:dyDescent="0.25">
      <c r="A45" s="169">
        <v>43</v>
      </c>
      <c r="B45" s="169">
        <f>'CORTE I '!C54</f>
        <v>0</v>
      </c>
      <c r="C45" s="169" t="str">
        <f>IF('CORTE I '!D54&gt;0,'CORTE I '!D54,"")</f>
        <v/>
      </c>
      <c r="D45" s="171" t="str">
        <f>+'CORTE I '!AH54</f>
        <v/>
      </c>
      <c r="E45" s="171" t="str">
        <f>+'CORTE II'!AG54</f>
        <v/>
      </c>
      <c r="F45" s="171" t="str">
        <f>+'CORTE III'!AG54</f>
        <v/>
      </c>
      <c r="G45" s="171">
        <f>+'CORTE III'!AL54</f>
        <v>0</v>
      </c>
      <c r="H45" s="171">
        <f>+'CORTE III'!AM54</f>
        <v>0</v>
      </c>
      <c r="I45" s="171">
        <f>+'CORTE III'!AO54</f>
        <v>0</v>
      </c>
      <c r="J45" s="82">
        <f t="shared" si="0"/>
        <v>0</v>
      </c>
    </row>
    <row r="46" spans="1:10" x14ac:dyDescent="0.25">
      <c r="A46" s="169">
        <v>44</v>
      </c>
      <c r="B46" s="169">
        <f>'CORTE I '!C55</f>
        <v>0</v>
      </c>
      <c r="C46" s="169" t="str">
        <f>IF('CORTE I '!D55&gt;0,'CORTE I '!D55,"")</f>
        <v/>
      </c>
      <c r="D46" s="171" t="str">
        <f>+'CORTE I '!AH55</f>
        <v/>
      </c>
      <c r="E46" s="171" t="str">
        <f>+'CORTE II'!AG55</f>
        <v/>
      </c>
      <c r="F46" s="171" t="str">
        <f>+'CORTE III'!AG55</f>
        <v/>
      </c>
      <c r="G46" s="171">
        <f>+'CORTE III'!AL55</f>
        <v>0</v>
      </c>
      <c r="H46" s="171">
        <f>+'CORTE III'!AM55</f>
        <v>0</v>
      </c>
      <c r="I46" s="171">
        <f>+'CORTE III'!AO55</f>
        <v>0</v>
      </c>
      <c r="J46" s="82">
        <f t="shared" si="0"/>
        <v>0</v>
      </c>
    </row>
    <row r="47" spans="1:10" x14ac:dyDescent="0.25">
      <c r="A47" s="169">
        <v>45</v>
      </c>
      <c r="B47" s="169">
        <f>'CORTE I '!C56</f>
        <v>0</v>
      </c>
      <c r="C47" s="169" t="str">
        <f>IF('CORTE I '!D56&gt;0,'CORTE I '!D56,"")</f>
        <v/>
      </c>
      <c r="D47" s="171" t="str">
        <f>+'CORTE I '!AH56</f>
        <v/>
      </c>
      <c r="E47" s="171" t="str">
        <f>+'CORTE II'!AG56</f>
        <v/>
      </c>
      <c r="F47" s="171" t="str">
        <f>+'CORTE III'!AG56</f>
        <v/>
      </c>
      <c r="G47" s="171">
        <f>+'CORTE III'!AL56</f>
        <v>0</v>
      </c>
      <c r="H47" s="171">
        <f>+'CORTE III'!AM56</f>
        <v>0</v>
      </c>
      <c r="I47" s="171">
        <f>+'CORTE III'!AO56</f>
        <v>0</v>
      </c>
      <c r="J47" s="82">
        <f t="shared" si="0"/>
        <v>0</v>
      </c>
    </row>
    <row r="48" spans="1:10" x14ac:dyDescent="0.25">
      <c r="A48" s="169">
        <v>46</v>
      </c>
      <c r="B48" s="169">
        <f>'CORTE I '!C57</f>
        <v>0</v>
      </c>
      <c r="C48" s="169" t="str">
        <f>IF('CORTE I '!D57&gt;0,'CORTE I '!D57,"")</f>
        <v/>
      </c>
      <c r="D48" s="171" t="str">
        <f>+'CORTE I '!AH57</f>
        <v/>
      </c>
      <c r="E48" s="171" t="str">
        <f>+'CORTE II'!AG57</f>
        <v/>
      </c>
      <c r="F48" s="171" t="str">
        <f>+'CORTE III'!AG57</f>
        <v/>
      </c>
      <c r="G48" s="171">
        <f>+'CORTE III'!AL57</f>
        <v>0</v>
      </c>
      <c r="H48" s="171">
        <f>+'CORTE III'!AM57</f>
        <v>0</v>
      </c>
      <c r="I48" s="171">
        <f>+'CORTE III'!AO57</f>
        <v>0</v>
      </c>
      <c r="J48" s="82">
        <f t="shared" si="0"/>
        <v>0</v>
      </c>
    </row>
    <row r="49" spans="1:10" x14ac:dyDescent="0.25">
      <c r="A49" s="169">
        <v>47</v>
      </c>
      <c r="B49" s="169">
        <f>'CORTE I '!C58</f>
        <v>0</v>
      </c>
      <c r="C49" s="169" t="str">
        <f>IF('CORTE I '!D58&gt;0,'CORTE I '!D58,"")</f>
        <v/>
      </c>
      <c r="D49" s="171" t="str">
        <f>+'CORTE I '!AH58</f>
        <v/>
      </c>
      <c r="E49" s="171" t="str">
        <f>+'CORTE II'!AG58</f>
        <v/>
      </c>
      <c r="F49" s="171" t="str">
        <f>+'CORTE III'!AG58</f>
        <v/>
      </c>
      <c r="G49" s="171">
        <f>+'CORTE III'!AL58</f>
        <v>0</v>
      </c>
      <c r="H49" s="171">
        <f>+'CORTE III'!AM58</f>
        <v>0</v>
      </c>
      <c r="I49" s="171">
        <f>+'CORTE III'!AO58</f>
        <v>0</v>
      </c>
      <c r="J49" s="82">
        <f t="shared" si="0"/>
        <v>0</v>
      </c>
    </row>
    <row r="50" spans="1:10" x14ac:dyDescent="0.25">
      <c r="A50" s="169">
        <v>48</v>
      </c>
      <c r="B50" s="169">
        <f>'CORTE I '!C59</f>
        <v>0</v>
      </c>
      <c r="C50" s="169" t="str">
        <f>IF('CORTE I '!D59&gt;0,'CORTE I '!D59,"")</f>
        <v/>
      </c>
      <c r="D50" s="171" t="str">
        <f>+'CORTE I '!AH59</f>
        <v/>
      </c>
      <c r="E50" s="171" t="str">
        <f>+'CORTE II'!AG59</f>
        <v/>
      </c>
      <c r="F50" s="171" t="str">
        <f>+'CORTE III'!AG59</f>
        <v/>
      </c>
      <c r="G50" s="171">
        <f>+'CORTE III'!AL59</f>
        <v>0</v>
      </c>
      <c r="H50" s="171">
        <f>+'CORTE III'!AM59</f>
        <v>0</v>
      </c>
      <c r="I50" s="171">
        <f>+'CORTE III'!AO59</f>
        <v>0</v>
      </c>
      <c r="J50" s="82">
        <f t="shared" si="0"/>
        <v>0</v>
      </c>
    </row>
    <row r="51" spans="1:10" x14ac:dyDescent="0.25">
      <c r="A51" s="169">
        <v>49</v>
      </c>
      <c r="B51" s="169">
        <f>'CORTE I '!C60</f>
        <v>0</v>
      </c>
      <c r="C51" s="169" t="str">
        <f>IF('CORTE I '!D60&gt;0,'CORTE I '!D60,"")</f>
        <v/>
      </c>
      <c r="D51" s="171" t="str">
        <f>+'CORTE I '!AH60</f>
        <v/>
      </c>
      <c r="E51" s="171" t="str">
        <f>+'CORTE II'!AG60</f>
        <v/>
      </c>
      <c r="F51" s="171" t="str">
        <f>+'CORTE III'!AG60</f>
        <v/>
      </c>
      <c r="G51" s="171">
        <f>+'CORTE III'!AL60</f>
        <v>0</v>
      </c>
      <c r="H51" s="171">
        <f>+'CORTE III'!AM60</f>
        <v>0</v>
      </c>
      <c r="I51" s="171">
        <f>+'CORTE III'!AO60</f>
        <v>0</v>
      </c>
      <c r="J51" s="82">
        <f t="shared" si="0"/>
        <v>0</v>
      </c>
    </row>
    <row r="52" spans="1:10" x14ac:dyDescent="0.25">
      <c r="A52" s="169">
        <v>50</v>
      </c>
      <c r="B52" s="169">
        <f>'CORTE I '!C61</f>
        <v>0</v>
      </c>
      <c r="C52" s="169" t="str">
        <f>IF('CORTE I '!D61&gt;0,'CORTE I '!D61,"")</f>
        <v/>
      </c>
      <c r="D52" s="171" t="str">
        <f>+'CORTE I '!AH61</f>
        <v/>
      </c>
      <c r="E52" s="171" t="str">
        <f>+'CORTE II'!AG61</f>
        <v/>
      </c>
      <c r="F52" s="171" t="str">
        <f>+'CORTE III'!AG61</f>
        <v/>
      </c>
      <c r="G52" s="171">
        <f>+'CORTE III'!AL61</f>
        <v>0</v>
      </c>
      <c r="H52" s="171">
        <f>+'CORTE III'!AM61</f>
        <v>0</v>
      </c>
      <c r="I52" s="171">
        <f>+'CORTE III'!AO61</f>
        <v>0</v>
      </c>
      <c r="J52" s="82">
        <f t="shared" si="0"/>
        <v>0</v>
      </c>
    </row>
    <row r="53" spans="1:10" x14ac:dyDescent="0.25">
      <c r="A53" s="169">
        <v>51</v>
      </c>
      <c r="B53" s="169">
        <f>'CORTE I '!C62</f>
        <v>0</v>
      </c>
      <c r="C53" s="169" t="str">
        <f>IF('CORTE I '!D62&gt;0,'CORTE I '!D62,"")</f>
        <v/>
      </c>
      <c r="D53" s="171" t="str">
        <f>+'CORTE I '!AH62</f>
        <v/>
      </c>
      <c r="E53" s="171" t="str">
        <f>+'CORTE II'!AG62</f>
        <v/>
      </c>
      <c r="F53" s="171" t="str">
        <f>+'CORTE III'!AG62</f>
        <v/>
      </c>
      <c r="G53" s="171">
        <f>+'CORTE III'!AL62</f>
        <v>0</v>
      </c>
      <c r="H53" s="171">
        <f>+'CORTE III'!AM62</f>
        <v>0</v>
      </c>
      <c r="I53" s="171">
        <f>+'CORTE III'!AO62</f>
        <v>0</v>
      </c>
      <c r="J53" s="82">
        <f t="shared" si="0"/>
        <v>0</v>
      </c>
    </row>
    <row r="54" spans="1:10" x14ac:dyDescent="0.25">
      <c r="A54" s="169">
        <v>52</v>
      </c>
      <c r="B54" s="169">
        <f>'CORTE I '!C63</f>
        <v>0</v>
      </c>
      <c r="C54" s="169" t="str">
        <f>IF('CORTE I '!D63&gt;0,'CORTE I '!D63,"")</f>
        <v/>
      </c>
      <c r="D54" s="171" t="str">
        <f>+'CORTE I '!AH63</f>
        <v/>
      </c>
      <c r="E54" s="171" t="str">
        <f>+'CORTE II'!AG63</f>
        <v/>
      </c>
      <c r="F54" s="171" t="str">
        <f>+'CORTE III'!AG63</f>
        <v/>
      </c>
      <c r="G54" s="171">
        <f>+'CORTE III'!AL63</f>
        <v>0</v>
      </c>
      <c r="H54" s="171">
        <f>+'CORTE III'!AM63</f>
        <v>0</v>
      </c>
      <c r="I54" s="171">
        <f>+'CORTE III'!AO63</f>
        <v>0</v>
      </c>
      <c r="J54" s="82">
        <f t="shared" si="0"/>
        <v>0</v>
      </c>
    </row>
    <row r="55" spans="1:10" x14ac:dyDescent="0.25">
      <c r="A55" s="169">
        <v>53</v>
      </c>
      <c r="B55" s="169">
        <f>'CORTE I '!C64</f>
        <v>0</v>
      </c>
      <c r="C55" s="169" t="str">
        <f>IF('CORTE I '!D64&gt;0,'CORTE I '!D64,"")</f>
        <v/>
      </c>
      <c r="D55" s="171" t="str">
        <f>+'CORTE I '!AH64</f>
        <v/>
      </c>
      <c r="E55" s="171" t="str">
        <f>+'CORTE II'!AG64</f>
        <v/>
      </c>
      <c r="F55" s="171" t="str">
        <f>+'CORTE III'!AG64</f>
        <v/>
      </c>
      <c r="G55" s="171">
        <f>+'CORTE III'!AL64</f>
        <v>0</v>
      </c>
      <c r="H55" s="171">
        <f>+'CORTE III'!AM64</f>
        <v>0</v>
      </c>
      <c r="I55" s="171">
        <f>+'CORTE III'!AO64</f>
        <v>0</v>
      </c>
      <c r="J55" s="82">
        <f t="shared" si="0"/>
        <v>0</v>
      </c>
    </row>
    <row r="56" spans="1:10" x14ac:dyDescent="0.25">
      <c r="A56" s="1"/>
      <c r="B56" s="1"/>
      <c r="C56" s="113">
        <f>SUM(J3:J55)</f>
        <v>0</v>
      </c>
      <c r="D56" s="79"/>
    </row>
    <row r="57" spans="1:10" x14ac:dyDescent="0.25">
      <c r="A57" s="1"/>
      <c r="B57" s="1"/>
      <c r="C57" s="1"/>
      <c r="D57" s="79"/>
    </row>
    <row r="58" spans="1:10" x14ac:dyDescent="0.25">
      <c r="A58" s="1"/>
      <c r="B58" s="1"/>
      <c r="C58" s="1"/>
      <c r="D58" s="79"/>
    </row>
    <row r="59" spans="1:10" x14ac:dyDescent="0.25">
      <c r="A59" s="1"/>
      <c r="B59" s="1"/>
      <c r="C59" s="1"/>
      <c r="D59" s="79"/>
    </row>
    <row r="60" spans="1:10" x14ac:dyDescent="0.25">
      <c r="A60" s="1"/>
      <c r="B60" s="1"/>
      <c r="C60" s="1"/>
      <c r="D60" s="79"/>
    </row>
    <row r="61" spans="1:10" x14ac:dyDescent="0.25">
      <c r="A61" s="1"/>
      <c r="B61" s="1"/>
      <c r="C61" s="1"/>
      <c r="D61" s="79"/>
    </row>
    <row r="62" spans="1:10" x14ac:dyDescent="0.25">
      <c r="A62" s="1"/>
      <c r="B62" s="1"/>
      <c r="C62" s="1"/>
      <c r="D62" s="79"/>
    </row>
    <row r="63" spans="1:10" x14ac:dyDescent="0.25">
      <c r="A63" s="1"/>
      <c r="B63" s="1"/>
      <c r="C63" s="1"/>
    </row>
  </sheetData>
  <mergeCells count="2">
    <mergeCell ref="C1:R1"/>
    <mergeCell ref="L7:R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W64"/>
  <sheetViews>
    <sheetView view="pageBreakPreview" zoomScaleNormal="70" zoomScaleSheetLayoutView="100" workbookViewId="0">
      <pane xSplit="4" topLeftCell="F1" activePane="topRight" state="frozen"/>
      <selection pane="topRight" activeCell="C12" sqref="C12:X20"/>
    </sheetView>
  </sheetViews>
  <sheetFormatPr baseColWidth="10" defaultRowHeight="15" x14ac:dyDescent="0.25"/>
  <cols>
    <col min="1" max="1" width="4.7109375" customWidth="1"/>
    <col min="2" max="2" width="9.28515625" customWidth="1"/>
    <col min="3" max="3" width="23" customWidth="1"/>
    <col min="4" max="4" width="49.28515625" customWidth="1"/>
    <col min="5" max="5" width="8.28515625" hidden="1" customWidth="1"/>
    <col min="6" max="25" width="4.7109375" customWidth="1"/>
    <col min="26" max="26" width="3.42578125" customWidth="1"/>
    <col min="27" max="33" width="4.7109375" customWidth="1"/>
    <col min="35" max="35" width="28.42578125" customWidth="1"/>
    <col min="36" max="36" width="5.42578125" customWidth="1"/>
    <col min="37" max="37" width="32.7109375" customWidth="1"/>
    <col min="38" max="38" width="27.42578125" customWidth="1"/>
    <col min="39" max="39" width="29.85546875" customWidth="1"/>
    <col min="46" max="63" width="11.42578125" customWidth="1"/>
    <col min="65" max="65" width="11.42578125" style="122" customWidth="1"/>
    <col min="66" max="93" width="11.42578125" customWidth="1"/>
    <col min="95" max="95" width="11.42578125" style="122" customWidth="1"/>
    <col min="101" max="102" width="11.42578125" customWidth="1"/>
  </cols>
  <sheetData>
    <row r="1" spans="1:101" ht="16.5" customHeight="1" thickBot="1" x14ac:dyDescent="0.3">
      <c r="A1" s="203" t="s">
        <v>91</v>
      </c>
      <c r="B1" s="203"/>
      <c r="C1" s="203"/>
      <c r="D1" s="203"/>
      <c r="E1" s="172"/>
      <c r="F1" s="194" t="s">
        <v>60</v>
      </c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226">
        <v>0</v>
      </c>
      <c r="Z1" s="226"/>
      <c r="AJ1" s="3"/>
      <c r="CW1" s="3"/>
    </row>
    <row r="2" spans="1:101" ht="16.5" customHeight="1" x14ac:dyDescent="0.25">
      <c r="A2" s="203"/>
      <c r="B2" s="203"/>
      <c r="C2" s="203"/>
      <c r="D2" s="203"/>
      <c r="E2" s="172"/>
      <c r="F2" s="194" t="s">
        <v>61</v>
      </c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226">
        <v>0</v>
      </c>
      <c r="Z2" s="226"/>
      <c r="AB2" s="208" t="s">
        <v>39</v>
      </c>
      <c r="AC2" s="209"/>
      <c r="AD2" s="209"/>
      <c r="AE2" s="209"/>
      <c r="AF2" s="209"/>
      <c r="AG2" s="209"/>
      <c r="AH2" s="209"/>
      <c r="AI2" s="210"/>
      <c r="AJ2" s="3"/>
      <c r="CW2" s="3"/>
    </row>
    <row r="3" spans="1:101" ht="16.5" customHeight="1" thickBot="1" x14ac:dyDescent="0.3">
      <c r="A3" s="204" t="s">
        <v>39</v>
      </c>
      <c r="B3" s="204"/>
      <c r="C3" s="174">
        <v>0.24</v>
      </c>
      <c r="D3" s="201">
        <f>+C3</f>
        <v>0.24</v>
      </c>
      <c r="E3" s="172"/>
      <c r="F3" s="194" t="s">
        <v>62</v>
      </c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3">
        <v>0.6</v>
      </c>
      <c r="Z3" s="193"/>
      <c r="AA3" s="25"/>
      <c r="AB3" s="211"/>
      <c r="AC3" s="212"/>
      <c r="AD3" s="212"/>
      <c r="AE3" s="212"/>
      <c r="AF3" s="212"/>
      <c r="AG3" s="212"/>
      <c r="AH3" s="212"/>
      <c r="AI3" s="213"/>
      <c r="AJ3" s="14"/>
      <c r="BM3" s="150"/>
      <c r="CW3" s="3"/>
    </row>
    <row r="4" spans="1:101" ht="15" customHeight="1" x14ac:dyDescent="0.25">
      <c r="A4" s="204" t="s">
        <v>40</v>
      </c>
      <c r="B4" s="204"/>
      <c r="C4" s="174">
        <v>0.24</v>
      </c>
      <c r="D4" s="202"/>
      <c r="E4" s="172"/>
      <c r="F4" s="194" t="s">
        <v>71</v>
      </c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3">
        <v>0.1</v>
      </c>
      <c r="Z4" s="193"/>
      <c r="AA4" s="25"/>
      <c r="AB4" s="214">
        <v>0.24</v>
      </c>
      <c r="AC4" s="215"/>
      <c r="AD4" s="215"/>
      <c r="AE4" s="215"/>
      <c r="AF4" s="215"/>
      <c r="AG4" s="215"/>
      <c r="AH4" s="215"/>
      <c r="AI4" s="216"/>
      <c r="AJ4" s="14"/>
      <c r="BM4" s="150"/>
      <c r="CW4" s="3"/>
    </row>
    <row r="5" spans="1:101" ht="15" customHeight="1" x14ac:dyDescent="0.25">
      <c r="A5" s="204" t="s">
        <v>41</v>
      </c>
      <c r="B5" s="204"/>
      <c r="C5" s="174">
        <v>0.32</v>
      </c>
      <c r="D5" s="202"/>
      <c r="E5" s="172"/>
      <c r="F5" s="194" t="s">
        <v>63</v>
      </c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  <c r="Y5" s="193">
        <v>0</v>
      </c>
      <c r="Z5" s="193"/>
      <c r="AA5" s="25"/>
      <c r="AB5" s="217"/>
      <c r="AC5" s="215"/>
      <c r="AD5" s="215"/>
      <c r="AE5" s="215"/>
      <c r="AF5" s="215"/>
      <c r="AG5" s="215"/>
      <c r="AH5" s="215"/>
      <c r="AI5" s="216"/>
      <c r="AJ5" s="14"/>
      <c r="BM5" s="150"/>
      <c r="CW5" s="3"/>
    </row>
    <row r="6" spans="1:101" ht="15" customHeight="1" x14ac:dyDescent="0.25">
      <c r="A6" s="204" t="s">
        <v>89</v>
      </c>
      <c r="B6" s="204"/>
      <c r="C6" s="174">
        <v>0.1</v>
      </c>
      <c r="D6" s="202"/>
      <c r="E6" s="172"/>
      <c r="F6" s="194" t="s">
        <v>75</v>
      </c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3">
        <v>0</v>
      </c>
      <c r="Z6" s="193"/>
      <c r="AA6" s="25"/>
      <c r="AB6" s="217"/>
      <c r="AC6" s="215"/>
      <c r="AD6" s="215"/>
      <c r="AE6" s="215"/>
      <c r="AF6" s="215"/>
      <c r="AG6" s="215"/>
      <c r="AH6" s="215"/>
      <c r="AI6" s="216"/>
      <c r="AJ6" s="14"/>
      <c r="BM6" s="150"/>
      <c r="CW6" s="3"/>
    </row>
    <row r="7" spans="1:101" ht="15" customHeight="1" x14ac:dyDescent="0.25">
      <c r="A7" s="204" t="s">
        <v>90</v>
      </c>
      <c r="B7" s="204"/>
      <c r="C7" s="174">
        <v>0.1</v>
      </c>
      <c r="D7" s="202"/>
      <c r="E7" s="172"/>
      <c r="F7" s="194" t="s">
        <v>64</v>
      </c>
      <c r="G7" s="194"/>
      <c r="H7" s="194"/>
      <c r="I7" s="194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3">
        <v>0.3</v>
      </c>
      <c r="Z7" s="193"/>
      <c r="AA7" s="25"/>
      <c r="AB7" s="217"/>
      <c r="AC7" s="215"/>
      <c r="AD7" s="215"/>
      <c r="AE7" s="215"/>
      <c r="AF7" s="215"/>
      <c r="AG7" s="215"/>
      <c r="AH7" s="215"/>
      <c r="AI7" s="216"/>
      <c r="AJ7" s="14"/>
      <c r="BM7" s="150"/>
      <c r="CW7" s="3"/>
    </row>
    <row r="8" spans="1:101" ht="16.5" thickBot="1" x14ac:dyDescent="0.3">
      <c r="C8" s="173">
        <f>SUM(C3:C7)</f>
        <v>1</v>
      </c>
      <c r="Y8" s="225">
        <f>SUM(Y1:Y7)</f>
        <v>1</v>
      </c>
      <c r="Z8" s="225"/>
      <c r="AB8" s="218"/>
      <c r="AC8" s="219"/>
      <c r="AD8" s="219"/>
      <c r="AE8" s="219"/>
      <c r="AF8" s="219"/>
      <c r="AG8" s="219"/>
      <c r="AH8" s="219"/>
      <c r="AI8" s="220"/>
      <c r="AJ8" s="3"/>
      <c r="CW8" s="3"/>
    </row>
    <row r="9" spans="1:101" ht="15.75" thickBot="1" x14ac:dyDescent="0.3">
      <c r="AJ9" s="3"/>
      <c r="CW9" s="3"/>
    </row>
    <row r="10" spans="1:101" ht="16.5" thickBot="1" x14ac:dyDescent="0.3">
      <c r="F10" s="221" t="s">
        <v>15</v>
      </c>
      <c r="G10" s="222"/>
      <c r="H10" s="222"/>
      <c r="I10" s="222"/>
      <c r="J10" s="222"/>
      <c r="K10" s="222"/>
      <c r="L10" s="222"/>
      <c r="M10" s="222"/>
      <c r="N10" s="222"/>
      <c r="O10" s="223"/>
      <c r="P10" s="223"/>
      <c r="Q10" s="223"/>
      <c r="R10" s="223"/>
      <c r="S10" s="223"/>
      <c r="T10" s="223"/>
      <c r="U10" s="223"/>
      <c r="V10" s="223"/>
      <c r="W10" s="223"/>
      <c r="X10" s="222"/>
      <c r="Y10" s="224"/>
      <c r="AA10" s="205" t="s">
        <v>14</v>
      </c>
      <c r="AB10" s="206"/>
      <c r="AC10" s="206"/>
      <c r="AD10" s="206"/>
      <c r="AE10" s="206"/>
      <c r="AF10" s="206"/>
      <c r="AG10" s="206"/>
      <c r="AH10" s="207"/>
      <c r="AJ10" s="3"/>
      <c r="AK10" s="195" t="s">
        <v>30</v>
      </c>
      <c r="AL10" s="195"/>
      <c r="AM10" s="195"/>
      <c r="AN10" s="196"/>
      <c r="AO10" s="196"/>
      <c r="AP10" s="196"/>
      <c r="AQ10" s="196"/>
      <c r="AR10" s="196"/>
      <c r="AS10" s="196"/>
    </row>
    <row r="11" spans="1:101" ht="16.5" thickBot="1" x14ac:dyDescent="0.3">
      <c r="A11" s="4" t="s">
        <v>17</v>
      </c>
      <c r="B11" s="5" t="s">
        <v>36</v>
      </c>
      <c r="C11" s="5" t="s">
        <v>18</v>
      </c>
      <c r="D11" s="6" t="s">
        <v>21</v>
      </c>
      <c r="E11" s="157" t="s">
        <v>82</v>
      </c>
      <c r="F11" s="4" t="s">
        <v>3</v>
      </c>
      <c r="G11" s="7" t="s">
        <v>4</v>
      </c>
      <c r="H11" s="6" t="s">
        <v>5</v>
      </c>
      <c r="I11" s="8" t="s">
        <v>0</v>
      </c>
      <c r="J11" s="5" t="s">
        <v>1</v>
      </c>
      <c r="K11" s="9" t="s">
        <v>2</v>
      </c>
      <c r="L11" s="4" t="s">
        <v>6</v>
      </c>
      <c r="M11" s="7" t="s">
        <v>8</v>
      </c>
      <c r="N11" s="87" t="s">
        <v>9</v>
      </c>
      <c r="O11" s="92" t="s">
        <v>72</v>
      </c>
      <c r="P11" s="96" t="s">
        <v>73</v>
      </c>
      <c r="Q11" s="95" t="s">
        <v>74</v>
      </c>
      <c r="R11" s="97" t="s">
        <v>58</v>
      </c>
      <c r="S11" s="93" t="s">
        <v>59</v>
      </c>
      <c r="T11" s="94" t="s">
        <v>66</v>
      </c>
      <c r="U11" s="92" t="s">
        <v>56</v>
      </c>
      <c r="V11" s="96" t="s">
        <v>57</v>
      </c>
      <c r="W11" s="95" t="s">
        <v>67</v>
      </c>
      <c r="X11" s="99" t="s">
        <v>10</v>
      </c>
      <c r="Y11" s="98" t="s">
        <v>11</v>
      </c>
      <c r="Z11" s="10"/>
      <c r="AA11" s="136" t="s">
        <v>12</v>
      </c>
      <c r="AB11" s="12" t="s">
        <v>13</v>
      </c>
      <c r="AC11" s="138" t="s">
        <v>7</v>
      </c>
      <c r="AD11" s="100" t="s">
        <v>70</v>
      </c>
      <c r="AE11" s="139" t="s">
        <v>68</v>
      </c>
      <c r="AF11" s="100" t="s">
        <v>69</v>
      </c>
      <c r="AG11" s="140" t="s">
        <v>29</v>
      </c>
      <c r="AH11" s="136" t="s">
        <v>16</v>
      </c>
      <c r="AI11" s="137" t="s">
        <v>78</v>
      </c>
      <c r="AJ11" s="14"/>
      <c r="AK11" s="126" t="s">
        <v>31</v>
      </c>
      <c r="AL11" s="127" t="s">
        <v>32</v>
      </c>
      <c r="AM11" s="127" t="s">
        <v>33</v>
      </c>
      <c r="AN11" s="197" t="s">
        <v>35</v>
      </c>
      <c r="AO11" s="197"/>
      <c r="AP11" s="197"/>
      <c r="AQ11" s="197" t="s">
        <v>34</v>
      </c>
      <c r="AR11" s="197"/>
      <c r="AS11" s="198"/>
      <c r="BM11" s="150"/>
      <c r="CQ11" s="150"/>
    </row>
    <row r="12" spans="1:101" ht="15.75" x14ac:dyDescent="0.25">
      <c r="A12" s="105">
        <v>1</v>
      </c>
      <c r="B12" s="106"/>
      <c r="C12" s="106"/>
      <c r="D12" s="152"/>
      <c r="E12" s="165"/>
      <c r="F12" s="26"/>
      <c r="G12" s="27"/>
      <c r="H12" s="28"/>
      <c r="I12" s="26"/>
      <c r="J12" s="27"/>
      <c r="K12" s="28"/>
      <c r="L12" s="26"/>
      <c r="M12" s="27"/>
      <c r="N12" s="88"/>
      <c r="O12" s="26"/>
      <c r="P12" s="83"/>
      <c r="Q12" s="28"/>
      <c r="R12" s="26"/>
      <c r="S12" s="83"/>
      <c r="T12" s="28"/>
      <c r="U12" s="26"/>
      <c r="V12" s="83"/>
      <c r="W12" s="28"/>
      <c r="X12" s="29"/>
      <c r="Y12" s="30"/>
      <c r="Z12" s="31"/>
      <c r="AA12" s="32" t="str">
        <f>IF(D12&gt;0,IF(ISERROR(AVERAGE(F12:H12)),0,AVERAGE(F12:H12)),"")</f>
        <v/>
      </c>
      <c r="AB12" s="32" t="str">
        <f>IF(D12&gt;0,IF(ISERROR(AVERAGE(I12:K12)),0,AVERAGE(I12:K12)),"")</f>
        <v/>
      </c>
      <c r="AC12" s="32" t="str">
        <f>IF(D12&gt;0,IF(ISERROR(AVERAGE(L12:N12)),0,AVERAGE(L12:N12)),"")</f>
        <v/>
      </c>
      <c r="AD12" s="32" t="str">
        <f>IF(D12&gt;0,IF(ISERROR(AVERAGE(O12:Q12)),0,AVERAGE(O12:Q12)),"")</f>
        <v/>
      </c>
      <c r="AE12" s="32" t="str">
        <f>IF(D12&gt;0,IF(ISERROR(AVERAGE(R12:T12)),0,AVERAGE(R12:T12)),"")</f>
        <v/>
      </c>
      <c r="AF12" s="32" t="str">
        <f>IF(D12&gt;0,IF(ISERROR(AVERAGE(U12:W12)),0,AVERAGE(U12:W12)),"")</f>
        <v/>
      </c>
      <c r="AG12" s="32" t="str">
        <f>IF(D12&gt;0,IF(ISERROR(AVERAGE(X12:Y12)),0,AVERAGE(X12:Y12)),"")</f>
        <v/>
      </c>
      <c r="AH12" s="48" t="str">
        <f>IF(D12&gt;0,AA12*$Y$1+AB12*$Y$2+AC12*$Y$3+AD12*$Y$4+AE12*$Y$5+AF12*$Y$6+AG12*$Y$7,"")</f>
        <v/>
      </c>
      <c r="AI12" s="2"/>
      <c r="AJ12" s="14"/>
      <c r="AK12" s="180"/>
      <c r="AL12" s="116"/>
      <c r="AM12" s="116"/>
      <c r="AN12" s="199"/>
      <c r="AO12" s="199"/>
      <c r="AP12" s="199"/>
      <c r="AQ12" s="199"/>
      <c r="AR12" s="199"/>
      <c r="AS12" s="200"/>
      <c r="BM12" s="151"/>
      <c r="CQ12" s="151"/>
    </row>
    <row r="13" spans="1:101" ht="15.75" x14ac:dyDescent="0.25">
      <c r="A13" s="19">
        <v>2</v>
      </c>
      <c r="B13" s="36"/>
      <c r="C13" s="36"/>
      <c r="D13" s="163"/>
      <c r="E13" s="164"/>
      <c r="F13" s="141"/>
      <c r="G13" s="36"/>
      <c r="H13" s="37"/>
      <c r="I13" s="35"/>
      <c r="J13" s="36"/>
      <c r="K13" s="37"/>
      <c r="L13" s="35"/>
      <c r="M13" s="36"/>
      <c r="N13" s="89"/>
      <c r="O13" s="35"/>
      <c r="P13" s="84"/>
      <c r="Q13" s="37"/>
      <c r="R13" s="35"/>
      <c r="S13" s="84"/>
      <c r="T13" s="37"/>
      <c r="U13" s="35"/>
      <c r="V13" s="84"/>
      <c r="W13" s="37"/>
      <c r="X13" s="38"/>
      <c r="Y13" s="39"/>
      <c r="Z13" s="31"/>
      <c r="AA13" s="40" t="str">
        <f>IF(D13&gt;0,IF(ISERROR(AVERAGE(F13:H13)),0,AVERAGE(F13:H13)),"")</f>
        <v/>
      </c>
      <c r="AB13" s="41" t="str">
        <f t="shared" ref="AB13:AB64" si="0">IF(D13&gt;0,IF(ISERROR(AVERAGE(I13:K13)),0,AVERAGE(I13:K13)),"")</f>
        <v/>
      </c>
      <c r="AC13" s="41" t="str">
        <f t="shared" ref="AC13:AC64" si="1">IF(D13&gt;0,IF(ISERROR(AVERAGE(L13:N13)),0,AVERAGE(L13:N13)),"")</f>
        <v/>
      </c>
      <c r="AD13" s="102" t="str">
        <f t="shared" ref="AD13:AD64" si="2">IF(D13&gt;0,IF(ISERROR(AVERAGE(O13:Q13)),0,AVERAGE(O13:Q13)),"")</f>
        <v/>
      </c>
      <c r="AE13" s="102" t="str">
        <f t="shared" ref="AE13:AE64" si="3">IF(D13&gt;0,IF(ISERROR(AVERAGE(R13:T13)),0,AVERAGE(R13:T13)),"")</f>
        <v/>
      </c>
      <c r="AF13" s="102" t="str">
        <f t="shared" ref="AF13:AF64" si="4">IF(D13&gt;0,IF(ISERROR(AVERAGE(U13:W13)),0,AVERAGE(U13:W13)),"")</f>
        <v/>
      </c>
      <c r="AG13" s="42" t="str">
        <f t="shared" ref="AG13:AG64" si="5">IF(D13&gt;0,IF(ISERROR(AVERAGE(X13:Y13)),0,AVERAGE(X13:Y13)),"")</f>
        <v/>
      </c>
      <c r="AH13" s="48" t="str">
        <f t="shared" ref="AH13:AH64" si="6">IF(D13&gt;0,AA13*$Y$1+AB13*$Y$2+AC13*$Y$3+AD13*$Y$4+AE13*$Y$5+AF13*$Y$6+AG13*$Y$7,"")</f>
        <v/>
      </c>
      <c r="AI13" s="2"/>
      <c r="AJ13" s="14"/>
      <c r="AK13" s="117"/>
      <c r="AL13" s="118"/>
      <c r="AM13" s="118"/>
      <c r="AN13" s="185"/>
      <c r="AO13" s="185"/>
      <c r="AP13" s="185"/>
      <c r="AQ13" s="185"/>
      <c r="AR13" s="185"/>
      <c r="AS13" s="186"/>
      <c r="BM13" s="151"/>
      <c r="CQ13" s="151"/>
    </row>
    <row r="14" spans="1:101" ht="15.75" x14ac:dyDescent="0.25">
      <c r="A14" s="107">
        <v>3</v>
      </c>
      <c r="B14" s="108"/>
      <c r="C14" s="108"/>
      <c r="D14" s="154"/>
      <c r="E14" s="158"/>
      <c r="F14" s="43"/>
      <c r="G14" s="44"/>
      <c r="H14" s="45"/>
      <c r="I14" s="43"/>
      <c r="J14" s="44"/>
      <c r="K14" s="45"/>
      <c r="L14" s="43"/>
      <c r="M14" s="44"/>
      <c r="N14" s="90"/>
      <c r="O14" s="43"/>
      <c r="P14" s="85"/>
      <c r="Q14" s="45"/>
      <c r="R14" s="43"/>
      <c r="S14" s="85"/>
      <c r="T14" s="45"/>
      <c r="U14" s="43"/>
      <c r="V14" s="85"/>
      <c r="W14" s="45"/>
      <c r="X14" s="46"/>
      <c r="Y14" s="47"/>
      <c r="Z14" s="31"/>
      <c r="AA14" s="32" t="str">
        <f t="shared" ref="AA14:AA64" si="7">IF(D14&gt;0,IF(ISERROR(AVERAGE(F14:H14)),0,AVERAGE(F14:H14)),"")</f>
        <v/>
      </c>
      <c r="AB14" s="33" t="str">
        <f t="shared" si="0"/>
        <v/>
      </c>
      <c r="AC14" s="33" t="str">
        <f t="shared" si="1"/>
        <v/>
      </c>
      <c r="AD14" s="101" t="str">
        <f t="shared" si="2"/>
        <v/>
      </c>
      <c r="AE14" s="101" t="str">
        <f t="shared" si="3"/>
        <v/>
      </c>
      <c r="AF14" s="101" t="str">
        <f t="shared" si="4"/>
        <v/>
      </c>
      <c r="AG14" s="34" t="str">
        <f t="shared" si="5"/>
        <v/>
      </c>
      <c r="AH14" s="48" t="str">
        <f t="shared" si="6"/>
        <v/>
      </c>
      <c r="AI14" s="2"/>
      <c r="AJ14" s="14"/>
      <c r="AK14" s="119"/>
      <c r="AL14" s="120"/>
      <c r="AM14" s="120"/>
      <c r="AN14" s="187"/>
      <c r="AO14" s="187"/>
      <c r="AP14" s="187"/>
      <c r="AQ14" s="187"/>
      <c r="AR14" s="187"/>
      <c r="AS14" s="188"/>
      <c r="BM14" s="151"/>
      <c r="CQ14" s="151"/>
    </row>
    <row r="15" spans="1:101" ht="15.75" x14ac:dyDescent="0.25">
      <c r="A15" s="19">
        <v>4</v>
      </c>
      <c r="B15" s="36"/>
      <c r="C15" s="36"/>
      <c r="D15" s="153"/>
      <c r="E15" s="160"/>
      <c r="F15" s="35"/>
      <c r="G15" s="36"/>
      <c r="H15" s="37"/>
      <c r="I15" s="35"/>
      <c r="J15" s="36"/>
      <c r="K15" s="37"/>
      <c r="L15" s="35"/>
      <c r="M15" s="36"/>
      <c r="N15" s="89"/>
      <c r="O15" s="35"/>
      <c r="P15" s="84"/>
      <c r="Q15" s="37"/>
      <c r="R15" s="35"/>
      <c r="S15" s="84"/>
      <c r="T15" s="37"/>
      <c r="U15" s="35"/>
      <c r="V15" s="84"/>
      <c r="W15" s="37"/>
      <c r="X15" s="38"/>
      <c r="Y15" s="39"/>
      <c r="Z15" s="31"/>
      <c r="AA15" s="81" t="str">
        <f t="shared" si="7"/>
        <v/>
      </c>
      <c r="AB15" s="41" t="str">
        <f t="shared" si="0"/>
        <v/>
      </c>
      <c r="AC15" s="41" t="str">
        <f t="shared" si="1"/>
        <v/>
      </c>
      <c r="AD15" s="102" t="str">
        <f t="shared" si="2"/>
        <v/>
      </c>
      <c r="AE15" s="102" t="str">
        <f t="shared" si="3"/>
        <v/>
      </c>
      <c r="AF15" s="102" t="str">
        <f t="shared" si="4"/>
        <v/>
      </c>
      <c r="AG15" s="42" t="str">
        <f t="shared" si="5"/>
        <v/>
      </c>
      <c r="AH15" s="48" t="str">
        <f t="shared" si="6"/>
        <v/>
      </c>
      <c r="AI15" s="2"/>
      <c r="AJ15" s="14"/>
      <c r="AK15" s="117"/>
      <c r="AL15" s="118"/>
      <c r="AM15" s="118"/>
      <c r="AN15" s="185"/>
      <c r="AO15" s="185"/>
      <c r="AP15" s="185"/>
      <c r="AQ15" s="185"/>
      <c r="AR15" s="185"/>
      <c r="AS15" s="186"/>
      <c r="BM15" s="151"/>
      <c r="CQ15" s="151"/>
    </row>
    <row r="16" spans="1:101" ht="15.75" x14ac:dyDescent="0.25">
      <c r="A16" s="107">
        <v>5</v>
      </c>
      <c r="B16" s="108"/>
      <c r="C16" s="108"/>
      <c r="D16" s="154"/>
      <c r="E16" s="159"/>
      <c r="F16" s="43"/>
      <c r="G16" s="44"/>
      <c r="H16" s="45"/>
      <c r="I16" s="43"/>
      <c r="J16" s="44"/>
      <c r="K16" s="45"/>
      <c r="L16" s="43"/>
      <c r="M16" s="44"/>
      <c r="N16" s="90"/>
      <c r="O16" s="43"/>
      <c r="P16" s="85"/>
      <c r="Q16" s="45"/>
      <c r="R16" s="43"/>
      <c r="S16" s="85"/>
      <c r="T16" s="45"/>
      <c r="U16" s="43"/>
      <c r="V16" s="85"/>
      <c r="W16" s="45"/>
      <c r="X16" s="46"/>
      <c r="Y16" s="47"/>
      <c r="Z16" s="31"/>
      <c r="AA16" s="32" t="str">
        <f t="shared" si="7"/>
        <v/>
      </c>
      <c r="AB16" s="33" t="str">
        <f t="shared" si="0"/>
        <v/>
      </c>
      <c r="AC16" s="33" t="str">
        <f t="shared" si="1"/>
        <v/>
      </c>
      <c r="AD16" s="101" t="str">
        <f t="shared" si="2"/>
        <v/>
      </c>
      <c r="AE16" s="101" t="str">
        <f t="shared" si="3"/>
        <v/>
      </c>
      <c r="AF16" s="101" t="str">
        <f t="shared" si="4"/>
        <v/>
      </c>
      <c r="AG16" s="34" t="str">
        <f t="shared" si="5"/>
        <v/>
      </c>
      <c r="AH16" s="48" t="str">
        <f t="shared" si="6"/>
        <v/>
      </c>
      <c r="AI16" s="2"/>
      <c r="AJ16" s="14"/>
      <c r="AK16" s="119"/>
      <c r="AL16" s="120"/>
      <c r="AM16" s="120"/>
      <c r="AN16" s="187"/>
      <c r="AO16" s="187"/>
      <c r="AP16" s="187"/>
      <c r="AQ16" s="187"/>
      <c r="AR16" s="187"/>
      <c r="AS16" s="188"/>
      <c r="BM16" s="151"/>
      <c r="CQ16" s="151"/>
    </row>
    <row r="17" spans="1:95" ht="15.75" x14ac:dyDescent="0.25">
      <c r="A17" s="19">
        <v>6</v>
      </c>
      <c r="B17" s="36"/>
      <c r="C17" s="36"/>
      <c r="D17" s="153"/>
      <c r="E17" s="160"/>
      <c r="F17" s="35"/>
      <c r="G17" s="36"/>
      <c r="H17" s="37"/>
      <c r="I17" s="35"/>
      <c r="J17" s="36"/>
      <c r="K17" s="37"/>
      <c r="L17" s="35"/>
      <c r="M17" s="36"/>
      <c r="N17" s="89"/>
      <c r="O17" s="35"/>
      <c r="P17" s="84"/>
      <c r="Q17" s="37"/>
      <c r="R17" s="35"/>
      <c r="S17" s="84"/>
      <c r="T17" s="37"/>
      <c r="U17" s="35"/>
      <c r="V17" s="84"/>
      <c r="W17" s="37"/>
      <c r="X17" s="38"/>
      <c r="Y17" s="39"/>
      <c r="Z17" s="31"/>
      <c r="AA17" s="40" t="str">
        <f t="shared" si="7"/>
        <v/>
      </c>
      <c r="AB17" s="41" t="str">
        <f t="shared" si="0"/>
        <v/>
      </c>
      <c r="AC17" s="41" t="str">
        <f t="shared" si="1"/>
        <v/>
      </c>
      <c r="AD17" s="102" t="str">
        <f t="shared" si="2"/>
        <v/>
      </c>
      <c r="AE17" s="102" t="str">
        <f t="shared" si="3"/>
        <v/>
      </c>
      <c r="AF17" s="102" t="str">
        <f t="shared" si="4"/>
        <v/>
      </c>
      <c r="AG17" s="42" t="str">
        <f t="shared" si="5"/>
        <v/>
      </c>
      <c r="AH17" s="48" t="str">
        <f t="shared" si="6"/>
        <v/>
      </c>
      <c r="AI17" s="2"/>
      <c r="AJ17" s="14"/>
      <c r="AK17" s="117"/>
      <c r="AL17" s="118"/>
      <c r="AM17" s="118"/>
      <c r="AN17" s="185"/>
      <c r="AO17" s="185"/>
      <c r="AP17" s="185"/>
      <c r="AQ17" s="185"/>
      <c r="AR17" s="185"/>
      <c r="AS17" s="186"/>
      <c r="BM17" s="151"/>
      <c r="CQ17" s="151"/>
    </row>
    <row r="18" spans="1:95" ht="15.75" x14ac:dyDescent="0.25">
      <c r="A18" s="107">
        <v>7</v>
      </c>
      <c r="B18" s="108"/>
      <c r="C18" s="108"/>
      <c r="D18" s="154"/>
      <c r="E18" s="159"/>
      <c r="F18" s="43"/>
      <c r="G18" s="44"/>
      <c r="H18" s="45"/>
      <c r="I18" s="43"/>
      <c r="J18" s="44"/>
      <c r="K18" s="45"/>
      <c r="L18" s="43"/>
      <c r="M18" s="44"/>
      <c r="N18" s="90"/>
      <c r="O18" s="43"/>
      <c r="P18" s="85"/>
      <c r="Q18" s="45"/>
      <c r="R18" s="43"/>
      <c r="S18" s="85"/>
      <c r="T18" s="45"/>
      <c r="U18" s="43"/>
      <c r="V18" s="85"/>
      <c r="W18" s="45"/>
      <c r="X18" s="46"/>
      <c r="Y18" s="47"/>
      <c r="Z18" s="31"/>
      <c r="AA18" s="32" t="str">
        <f t="shared" si="7"/>
        <v/>
      </c>
      <c r="AB18" s="33" t="str">
        <f t="shared" si="0"/>
        <v/>
      </c>
      <c r="AC18" s="33" t="str">
        <f t="shared" si="1"/>
        <v/>
      </c>
      <c r="AD18" s="101" t="str">
        <f t="shared" si="2"/>
        <v/>
      </c>
      <c r="AE18" s="101" t="str">
        <f t="shared" si="3"/>
        <v/>
      </c>
      <c r="AF18" s="101" t="str">
        <f t="shared" si="4"/>
        <v/>
      </c>
      <c r="AG18" s="34" t="str">
        <f t="shared" si="5"/>
        <v/>
      </c>
      <c r="AH18" s="48" t="str">
        <f t="shared" si="6"/>
        <v/>
      </c>
      <c r="AI18" s="2"/>
      <c r="AJ18" s="14"/>
      <c r="AK18" s="119"/>
      <c r="AL18" s="120"/>
      <c r="AM18" s="120"/>
      <c r="AN18" s="187"/>
      <c r="AO18" s="187"/>
      <c r="AP18" s="187"/>
      <c r="AQ18" s="187"/>
      <c r="AR18" s="187"/>
      <c r="AS18" s="188"/>
      <c r="BM18" s="151"/>
      <c r="CQ18" s="151"/>
    </row>
    <row r="19" spans="1:95" ht="15.75" x14ac:dyDescent="0.25">
      <c r="A19" s="19">
        <v>8</v>
      </c>
      <c r="B19" s="36"/>
      <c r="C19" s="36"/>
      <c r="D19" s="153"/>
      <c r="E19" s="160"/>
      <c r="F19" s="35"/>
      <c r="G19" s="36"/>
      <c r="H19" s="37"/>
      <c r="I19" s="35"/>
      <c r="J19" s="36"/>
      <c r="K19" s="37"/>
      <c r="L19" s="35"/>
      <c r="M19" s="36"/>
      <c r="N19" s="89"/>
      <c r="O19" s="35"/>
      <c r="P19" s="84"/>
      <c r="Q19" s="37"/>
      <c r="R19" s="35"/>
      <c r="S19" s="84"/>
      <c r="T19" s="37"/>
      <c r="U19" s="35"/>
      <c r="V19" s="84"/>
      <c r="W19" s="37"/>
      <c r="X19" s="38"/>
      <c r="Y19" s="39"/>
      <c r="Z19" s="31"/>
      <c r="AA19" s="40" t="str">
        <f t="shared" si="7"/>
        <v/>
      </c>
      <c r="AB19" s="41" t="str">
        <f t="shared" si="0"/>
        <v/>
      </c>
      <c r="AC19" s="41" t="str">
        <f t="shared" si="1"/>
        <v/>
      </c>
      <c r="AD19" s="102" t="str">
        <f t="shared" si="2"/>
        <v/>
      </c>
      <c r="AE19" s="102" t="str">
        <f t="shared" si="3"/>
        <v/>
      </c>
      <c r="AF19" s="102" t="str">
        <f t="shared" si="4"/>
        <v/>
      </c>
      <c r="AG19" s="42" t="str">
        <f t="shared" si="5"/>
        <v/>
      </c>
      <c r="AH19" s="48" t="str">
        <f t="shared" si="6"/>
        <v/>
      </c>
      <c r="AI19" s="2"/>
      <c r="AJ19" s="14"/>
      <c r="AK19" s="117"/>
      <c r="AL19" s="118"/>
      <c r="AM19" s="118"/>
      <c r="AN19" s="185"/>
      <c r="AO19" s="185"/>
      <c r="AP19" s="185"/>
      <c r="AQ19" s="185"/>
      <c r="AR19" s="185"/>
      <c r="AS19" s="186"/>
      <c r="BM19" s="151"/>
      <c r="CQ19" s="151"/>
    </row>
    <row r="20" spans="1:95" ht="15.75" x14ac:dyDescent="0.25">
      <c r="A20" s="107">
        <v>9</v>
      </c>
      <c r="B20" s="108"/>
      <c r="C20" s="108"/>
      <c r="D20" s="154"/>
      <c r="E20" s="159"/>
      <c r="F20" s="43"/>
      <c r="G20" s="44"/>
      <c r="H20" s="45"/>
      <c r="I20" s="43"/>
      <c r="J20" s="44"/>
      <c r="K20" s="45"/>
      <c r="L20" s="43"/>
      <c r="M20" s="44"/>
      <c r="N20" s="90"/>
      <c r="O20" s="43"/>
      <c r="P20" s="85"/>
      <c r="Q20" s="45"/>
      <c r="R20" s="43"/>
      <c r="S20" s="85"/>
      <c r="T20" s="45"/>
      <c r="U20" s="43"/>
      <c r="V20" s="85"/>
      <c r="W20" s="45"/>
      <c r="X20" s="46"/>
      <c r="Y20" s="47"/>
      <c r="Z20" s="31"/>
      <c r="AA20" s="32" t="str">
        <f t="shared" si="7"/>
        <v/>
      </c>
      <c r="AB20" s="33" t="str">
        <f t="shared" si="0"/>
        <v/>
      </c>
      <c r="AC20" s="33" t="str">
        <f t="shared" si="1"/>
        <v/>
      </c>
      <c r="AD20" s="101" t="str">
        <f t="shared" si="2"/>
        <v/>
      </c>
      <c r="AE20" s="101" t="str">
        <f t="shared" si="3"/>
        <v/>
      </c>
      <c r="AF20" s="101" t="str">
        <f t="shared" si="4"/>
        <v/>
      </c>
      <c r="AG20" s="34" t="str">
        <f t="shared" si="5"/>
        <v/>
      </c>
      <c r="AH20" s="48" t="str">
        <f t="shared" si="6"/>
        <v/>
      </c>
      <c r="AI20" s="2"/>
      <c r="AJ20" s="14"/>
      <c r="AK20" s="119"/>
      <c r="AL20" s="120"/>
      <c r="AM20" s="120"/>
      <c r="AN20" s="187"/>
      <c r="AO20" s="187"/>
      <c r="AP20" s="187"/>
      <c r="AQ20" s="187"/>
      <c r="AR20" s="187"/>
      <c r="AS20" s="188"/>
      <c r="BM20" s="151"/>
      <c r="CQ20" s="151"/>
    </row>
    <row r="21" spans="1:95" ht="15.75" x14ac:dyDescent="0.25">
      <c r="A21" s="19">
        <v>10</v>
      </c>
      <c r="B21" s="36"/>
      <c r="C21" s="36"/>
      <c r="D21" s="153"/>
      <c r="E21" s="160"/>
      <c r="F21" s="35"/>
      <c r="G21" s="36"/>
      <c r="H21" s="37"/>
      <c r="I21" s="35"/>
      <c r="J21" s="36"/>
      <c r="K21" s="37"/>
      <c r="L21" s="35"/>
      <c r="M21" s="36"/>
      <c r="N21" s="89"/>
      <c r="O21" s="35"/>
      <c r="P21" s="84"/>
      <c r="Q21" s="37"/>
      <c r="R21" s="35"/>
      <c r="S21" s="84"/>
      <c r="T21" s="37"/>
      <c r="U21" s="35"/>
      <c r="V21" s="84"/>
      <c r="W21" s="37"/>
      <c r="X21" s="38"/>
      <c r="Y21" s="39"/>
      <c r="Z21" s="31"/>
      <c r="AA21" s="40" t="str">
        <f t="shared" si="7"/>
        <v/>
      </c>
      <c r="AB21" s="41" t="str">
        <f t="shared" si="0"/>
        <v/>
      </c>
      <c r="AC21" s="41" t="str">
        <f t="shared" si="1"/>
        <v/>
      </c>
      <c r="AD21" s="102" t="str">
        <f t="shared" si="2"/>
        <v/>
      </c>
      <c r="AE21" s="102" t="str">
        <f t="shared" si="3"/>
        <v/>
      </c>
      <c r="AF21" s="102" t="str">
        <f t="shared" si="4"/>
        <v/>
      </c>
      <c r="AG21" s="42" t="str">
        <f t="shared" si="5"/>
        <v/>
      </c>
      <c r="AH21" s="48" t="str">
        <f t="shared" si="6"/>
        <v/>
      </c>
      <c r="AI21" s="2"/>
      <c r="AJ21" s="14"/>
      <c r="AK21" s="117"/>
      <c r="AL21" s="118"/>
      <c r="AM21" s="118"/>
      <c r="AN21" s="185"/>
      <c r="AO21" s="185"/>
      <c r="AP21" s="185"/>
      <c r="AQ21" s="185"/>
      <c r="AR21" s="185"/>
      <c r="AS21" s="186"/>
      <c r="BM21" s="151"/>
      <c r="CQ21" s="151"/>
    </row>
    <row r="22" spans="1:95" ht="15.75" x14ac:dyDescent="0.25">
      <c r="A22" s="107">
        <v>11</v>
      </c>
      <c r="B22" s="108"/>
      <c r="C22" s="108"/>
      <c r="D22" s="154"/>
      <c r="E22" s="159"/>
      <c r="F22" s="43"/>
      <c r="G22" s="44"/>
      <c r="H22" s="45"/>
      <c r="I22" s="43"/>
      <c r="J22" s="44"/>
      <c r="K22" s="45"/>
      <c r="L22" s="43"/>
      <c r="M22" s="44"/>
      <c r="N22" s="90"/>
      <c r="O22" s="43"/>
      <c r="P22" s="85"/>
      <c r="Q22" s="45"/>
      <c r="R22" s="43"/>
      <c r="S22" s="85"/>
      <c r="T22" s="45"/>
      <c r="U22" s="43"/>
      <c r="V22" s="85"/>
      <c r="W22" s="45"/>
      <c r="X22" s="46"/>
      <c r="Y22" s="47"/>
      <c r="Z22" s="31"/>
      <c r="AA22" s="32" t="str">
        <f t="shared" si="7"/>
        <v/>
      </c>
      <c r="AB22" s="33" t="str">
        <f t="shared" si="0"/>
        <v/>
      </c>
      <c r="AC22" s="33" t="str">
        <f t="shared" si="1"/>
        <v/>
      </c>
      <c r="AD22" s="101" t="str">
        <f t="shared" si="2"/>
        <v/>
      </c>
      <c r="AE22" s="101" t="str">
        <f t="shared" si="3"/>
        <v/>
      </c>
      <c r="AF22" s="101" t="str">
        <f t="shared" si="4"/>
        <v/>
      </c>
      <c r="AG22" s="34" t="str">
        <f t="shared" si="5"/>
        <v/>
      </c>
      <c r="AH22" s="48" t="str">
        <f>IF(D22&gt;0,AA22*$Y$1+AB22*$Y$2+AC22*$Y$3+AD22*$Y$4+AE22*$Y$5+AF22*$Y$6+AG22*$Y$7,"")</f>
        <v/>
      </c>
      <c r="AI22" s="2"/>
      <c r="AJ22" s="14"/>
      <c r="AK22" s="119"/>
      <c r="AL22" s="120"/>
      <c r="AM22" s="120"/>
      <c r="AN22" s="187"/>
      <c r="AO22" s="187"/>
      <c r="AP22" s="187"/>
      <c r="AQ22" s="187"/>
      <c r="AR22" s="187"/>
      <c r="AS22" s="188"/>
      <c r="BM22" s="151"/>
      <c r="CQ22" s="151"/>
    </row>
    <row r="23" spans="1:95" ht="15.75" x14ac:dyDescent="0.25">
      <c r="A23" s="19">
        <v>12</v>
      </c>
      <c r="B23" s="36"/>
      <c r="C23" s="36"/>
      <c r="D23" s="153"/>
      <c r="E23" s="160"/>
      <c r="F23" s="35"/>
      <c r="G23" s="36"/>
      <c r="H23" s="37"/>
      <c r="I23" s="35"/>
      <c r="J23" s="36"/>
      <c r="K23" s="37"/>
      <c r="L23" s="35"/>
      <c r="M23" s="36"/>
      <c r="N23" s="89"/>
      <c r="O23" s="35"/>
      <c r="P23" s="84"/>
      <c r="Q23" s="37"/>
      <c r="R23" s="35"/>
      <c r="S23" s="84"/>
      <c r="T23" s="37"/>
      <c r="U23" s="35"/>
      <c r="V23" s="84"/>
      <c r="W23" s="37"/>
      <c r="X23" s="38"/>
      <c r="Y23" s="39"/>
      <c r="Z23" s="31"/>
      <c r="AA23" s="40" t="str">
        <f t="shared" si="7"/>
        <v/>
      </c>
      <c r="AB23" s="41" t="str">
        <f t="shared" si="0"/>
        <v/>
      </c>
      <c r="AC23" s="41" t="str">
        <f t="shared" si="1"/>
        <v/>
      </c>
      <c r="AD23" s="102" t="str">
        <f t="shared" si="2"/>
        <v/>
      </c>
      <c r="AE23" s="102" t="str">
        <f t="shared" si="3"/>
        <v/>
      </c>
      <c r="AF23" s="102" t="str">
        <f t="shared" si="4"/>
        <v/>
      </c>
      <c r="AG23" s="42" t="str">
        <f t="shared" si="5"/>
        <v/>
      </c>
      <c r="AH23" s="48" t="str">
        <f>IF(D23&gt;0,AA23*$Y$1+AB23*$Y$2+AC23*$Y$3+AD23*$Y$4+AE23*$Y$5+AF23*$Y$6+AG23*$Y$7,"")</f>
        <v/>
      </c>
      <c r="AI23" s="2"/>
      <c r="AJ23" s="14"/>
      <c r="AK23" s="117"/>
      <c r="AL23" s="118"/>
      <c r="AM23" s="118"/>
      <c r="AN23" s="185"/>
      <c r="AO23" s="185"/>
      <c r="AP23" s="185"/>
      <c r="AQ23" s="185"/>
      <c r="AR23" s="185"/>
      <c r="AS23" s="186"/>
      <c r="BM23" s="151"/>
      <c r="CQ23" s="151"/>
    </row>
    <row r="24" spans="1:95" ht="15.75" x14ac:dyDescent="0.25">
      <c r="A24" s="107">
        <v>13</v>
      </c>
      <c r="B24" s="108"/>
      <c r="C24" s="108"/>
      <c r="D24" s="154"/>
      <c r="E24" s="159"/>
      <c r="F24" s="43"/>
      <c r="G24" s="44"/>
      <c r="H24" s="45"/>
      <c r="I24" s="43"/>
      <c r="J24" s="44"/>
      <c r="K24" s="45"/>
      <c r="L24" s="43"/>
      <c r="M24" s="44"/>
      <c r="N24" s="90"/>
      <c r="O24" s="43"/>
      <c r="P24" s="85"/>
      <c r="Q24" s="45"/>
      <c r="R24" s="43"/>
      <c r="S24" s="85"/>
      <c r="T24" s="45"/>
      <c r="U24" s="43"/>
      <c r="V24" s="85"/>
      <c r="W24" s="45"/>
      <c r="X24" s="46"/>
      <c r="Y24" s="47"/>
      <c r="Z24" s="31"/>
      <c r="AA24" s="32" t="str">
        <f t="shared" si="7"/>
        <v/>
      </c>
      <c r="AB24" s="33" t="str">
        <f t="shared" si="0"/>
        <v/>
      </c>
      <c r="AC24" s="33" t="str">
        <f t="shared" si="1"/>
        <v/>
      </c>
      <c r="AD24" s="101" t="str">
        <f t="shared" si="2"/>
        <v/>
      </c>
      <c r="AE24" s="101" t="str">
        <f t="shared" si="3"/>
        <v/>
      </c>
      <c r="AF24" s="101" t="str">
        <f t="shared" si="4"/>
        <v/>
      </c>
      <c r="AG24" s="34" t="str">
        <f t="shared" si="5"/>
        <v/>
      </c>
      <c r="AH24" s="48" t="str">
        <f t="shared" si="6"/>
        <v/>
      </c>
      <c r="AI24" s="2"/>
      <c r="AJ24" s="14"/>
      <c r="AK24" s="119"/>
      <c r="AL24" s="120"/>
      <c r="AM24" s="120"/>
      <c r="AN24" s="187"/>
      <c r="AO24" s="187"/>
      <c r="AP24" s="187"/>
      <c r="AQ24" s="187"/>
      <c r="AR24" s="187"/>
      <c r="AS24" s="188"/>
      <c r="BM24" s="151"/>
      <c r="CQ24" s="151"/>
    </row>
    <row r="25" spans="1:95" ht="15.75" x14ac:dyDescent="0.25">
      <c r="A25" s="19">
        <v>14</v>
      </c>
      <c r="B25" s="36"/>
      <c r="C25" s="36"/>
      <c r="D25" s="153"/>
      <c r="E25" s="160"/>
      <c r="F25" s="35"/>
      <c r="G25" s="36"/>
      <c r="H25" s="37"/>
      <c r="I25" s="35"/>
      <c r="J25" s="36"/>
      <c r="K25" s="37"/>
      <c r="L25" s="35"/>
      <c r="M25" s="36"/>
      <c r="N25" s="89"/>
      <c r="O25" s="35"/>
      <c r="P25" s="84"/>
      <c r="Q25" s="37"/>
      <c r="R25" s="35"/>
      <c r="S25" s="84"/>
      <c r="T25" s="37"/>
      <c r="U25" s="35"/>
      <c r="V25" s="84"/>
      <c r="W25" s="37"/>
      <c r="X25" s="38"/>
      <c r="Y25" s="39"/>
      <c r="Z25" s="31"/>
      <c r="AA25" s="40" t="str">
        <f t="shared" si="7"/>
        <v/>
      </c>
      <c r="AB25" s="41" t="str">
        <f t="shared" si="0"/>
        <v/>
      </c>
      <c r="AC25" s="41" t="str">
        <f t="shared" si="1"/>
        <v/>
      </c>
      <c r="AD25" s="102" t="str">
        <f t="shared" si="2"/>
        <v/>
      </c>
      <c r="AE25" s="102" t="str">
        <f t="shared" si="3"/>
        <v/>
      </c>
      <c r="AF25" s="102" t="str">
        <f t="shared" si="4"/>
        <v/>
      </c>
      <c r="AG25" s="42" t="str">
        <f t="shared" si="5"/>
        <v/>
      </c>
      <c r="AH25" s="48" t="str">
        <f t="shared" si="6"/>
        <v/>
      </c>
      <c r="AI25" s="2"/>
      <c r="AJ25" s="14"/>
      <c r="AK25" s="121"/>
      <c r="AL25" s="118"/>
      <c r="AM25" s="118"/>
      <c r="AN25" s="185"/>
      <c r="AO25" s="185"/>
      <c r="AP25" s="185"/>
      <c r="AQ25" s="185"/>
      <c r="AR25" s="185"/>
      <c r="AS25" s="186"/>
      <c r="BM25" s="151"/>
      <c r="CQ25" s="151"/>
    </row>
    <row r="26" spans="1:95" ht="15.75" x14ac:dyDescent="0.25">
      <c r="A26" s="107">
        <v>15</v>
      </c>
      <c r="B26" s="108"/>
      <c r="C26" s="108"/>
      <c r="D26" s="154"/>
      <c r="E26" s="159"/>
      <c r="F26" s="43"/>
      <c r="G26" s="44"/>
      <c r="H26" s="45"/>
      <c r="I26" s="43"/>
      <c r="J26" s="44"/>
      <c r="K26" s="45"/>
      <c r="L26" s="43"/>
      <c r="M26" s="44"/>
      <c r="N26" s="90"/>
      <c r="O26" s="43"/>
      <c r="P26" s="85"/>
      <c r="Q26" s="45"/>
      <c r="R26" s="43"/>
      <c r="S26" s="85"/>
      <c r="T26" s="45"/>
      <c r="U26" s="43"/>
      <c r="V26" s="85"/>
      <c r="W26" s="45"/>
      <c r="X26" s="46"/>
      <c r="Y26" s="47"/>
      <c r="Z26" s="31"/>
      <c r="AA26" s="32" t="str">
        <f t="shared" si="7"/>
        <v/>
      </c>
      <c r="AB26" s="33" t="str">
        <f t="shared" si="0"/>
        <v/>
      </c>
      <c r="AC26" s="33" t="str">
        <f t="shared" si="1"/>
        <v/>
      </c>
      <c r="AD26" s="101" t="str">
        <f t="shared" si="2"/>
        <v/>
      </c>
      <c r="AE26" s="101" t="str">
        <f t="shared" si="3"/>
        <v/>
      </c>
      <c r="AF26" s="101" t="str">
        <f t="shared" si="4"/>
        <v/>
      </c>
      <c r="AG26" s="34" t="str">
        <f t="shared" si="5"/>
        <v/>
      </c>
      <c r="AH26" s="48" t="str">
        <f t="shared" si="6"/>
        <v/>
      </c>
      <c r="AI26" s="2"/>
      <c r="AJ26" s="14"/>
      <c r="AK26" s="119"/>
      <c r="AL26" s="120"/>
      <c r="AM26" s="120"/>
      <c r="AN26" s="187"/>
      <c r="AO26" s="187"/>
      <c r="AP26" s="187"/>
      <c r="AQ26" s="187"/>
      <c r="AR26" s="187"/>
      <c r="AS26" s="188"/>
      <c r="BM26" s="151"/>
      <c r="CQ26" s="151"/>
    </row>
    <row r="27" spans="1:95" ht="15.75" x14ac:dyDescent="0.25">
      <c r="A27" s="19">
        <v>16</v>
      </c>
      <c r="B27" s="36"/>
      <c r="C27" s="36"/>
      <c r="D27" s="153"/>
      <c r="E27" s="160"/>
      <c r="F27" s="35"/>
      <c r="G27" s="36"/>
      <c r="H27" s="37"/>
      <c r="I27" s="35"/>
      <c r="J27" s="36"/>
      <c r="K27" s="37"/>
      <c r="L27" s="35"/>
      <c r="M27" s="36"/>
      <c r="N27" s="89"/>
      <c r="O27" s="35"/>
      <c r="P27" s="84"/>
      <c r="Q27" s="37"/>
      <c r="R27" s="35"/>
      <c r="S27" s="84"/>
      <c r="T27" s="37"/>
      <c r="U27" s="35"/>
      <c r="V27" s="84"/>
      <c r="W27" s="37"/>
      <c r="X27" s="38"/>
      <c r="Y27" s="39"/>
      <c r="Z27" s="31"/>
      <c r="AA27" s="40" t="str">
        <f t="shared" si="7"/>
        <v/>
      </c>
      <c r="AB27" s="41" t="str">
        <f t="shared" si="0"/>
        <v/>
      </c>
      <c r="AC27" s="41" t="str">
        <f t="shared" si="1"/>
        <v/>
      </c>
      <c r="AD27" s="102" t="str">
        <f t="shared" si="2"/>
        <v/>
      </c>
      <c r="AE27" s="102" t="str">
        <f t="shared" si="3"/>
        <v/>
      </c>
      <c r="AF27" s="102" t="str">
        <f t="shared" si="4"/>
        <v/>
      </c>
      <c r="AG27" s="42" t="str">
        <f t="shared" si="5"/>
        <v/>
      </c>
      <c r="AH27" s="48" t="str">
        <f t="shared" si="6"/>
        <v/>
      </c>
      <c r="AI27" s="2"/>
      <c r="AJ27" s="14"/>
      <c r="AK27" s="117"/>
      <c r="AL27" s="118"/>
      <c r="AM27" s="118"/>
      <c r="AN27" s="185"/>
      <c r="AO27" s="185"/>
      <c r="AP27" s="185"/>
      <c r="AQ27" s="185"/>
      <c r="AR27" s="185"/>
      <c r="AS27" s="186"/>
      <c r="BM27" s="151"/>
      <c r="CQ27" s="151"/>
    </row>
    <row r="28" spans="1:95" ht="15.75" x14ac:dyDescent="0.25">
      <c r="A28" s="107">
        <v>17</v>
      </c>
      <c r="B28" s="108"/>
      <c r="C28" s="108"/>
      <c r="D28" s="154"/>
      <c r="E28" s="159"/>
      <c r="F28" s="43"/>
      <c r="G28" s="44"/>
      <c r="H28" s="45"/>
      <c r="I28" s="43"/>
      <c r="J28" s="44"/>
      <c r="K28" s="45"/>
      <c r="L28" s="43"/>
      <c r="M28" s="44"/>
      <c r="N28" s="90"/>
      <c r="O28" s="43"/>
      <c r="P28" s="85"/>
      <c r="Q28" s="45"/>
      <c r="R28" s="43"/>
      <c r="S28" s="85"/>
      <c r="T28" s="45"/>
      <c r="U28" s="43"/>
      <c r="V28" s="85"/>
      <c r="W28" s="45"/>
      <c r="X28" s="46"/>
      <c r="Y28" s="47"/>
      <c r="Z28" s="31"/>
      <c r="AA28" s="32" t="str">
        <f t="shared" si="7"/>
        <v/>
      </c>
      <c r="AB28" s="33" t="str">
        <f t="shared" si="0"/>
        <v/>
      </c>
      <c r="AC28" s="33" t="str">
        <f t="shared" si="1"/>
        <v/>
      </c>
      <c r="AD28" s="101" t="str">
        <f t="shared" si="2"/>
        <v/>
      </c>
      <c r="AE28" s="101" t="str">
        <f t="shared" si="3"/>
        <v/>
      </c>
      <c r="AF28" s="101" t="str">
        <f t="shared" si="4"/>
        <v/>
      </c>
      <c r="AG28" s="34" t="str">
        <f t="shared" si="5"/>
        <v/>
      </c>
      <c r="AH28" s="48" t="str">
        <f t="shared" si="6"/>
        <v/>
      </c>
      <c r="AI28" s="2"/>
      <c r="AJ28" s="14"/>
      <c r="AK28" s="119"/>
      <c r="AL28" s="120"/>
      <c r="AM28" s="120"/>
      <c r="AN28" s="187"/>
      <c r="AO28" s="187"/>
      <c r="AP28" s="187"/>
      <c r="AQ28" s="187"/>
      <c r="AR28" s="187"/>
      <c r="AS28" s="188"/>
      <c r="BM28" s="151"/>
      <c r="CQ28" s="151"/>
    </row>
    <row r="29" spans="1:95" ht="15.75" x14ac:dyDescent="0.25">
      <c r="A29" s="19">
        <v>18</v>
      </c>
      <c r="B29" s="36"/>
      <c r="C29" s="36"/>
      <c r="D29" s="153"/>
      <c r="E29" s="160"/>
      <c r="F29" s="35"/>
      <c r="G29" s="36"/>
      <c r="H29" s="37"/>
      <c r="I29" s="35"/>
      <c r="J29" s="36"/>
      <c r="K29" s="37"/>
      <c r="L29" s="35"/>
      <c r="M29" s="36"/>
      <c r="N29" s="89"/>
      <c r="O29" s="35"/>
      <c r="P29" s="84"/>
      <c r="Q29" s="37"/>
      <c r="R29" s="35"/>
      <c r="S29" s="84"/>
      <c r="T29" s="37"/>
      <c r="U29" s="35"/>
      <c r="V29" s="84"/>
      <c r="W29" s="37"/>
      <c r="X29" s="38"/>
      <c r="Y29" s="39"/>
      <c r="Z29" s="31"/>
      <c r="AA29" s="40" t="str">
        <f t="shared" si="7"/>
        <v/>
      </c>
      <c r="AB29" s="41" t="str">
        <f t="shared" si="0"/>
        <v/>
      </c>
      <c r="AC29" s="41" t="str">
        <f t="shared" si="1"/>
        <v/>
      </c>
      <c r="AD29" s="102" t="str">
        <f t="shared" si="2"/>
        <v/>
      </c>
      <c r="AE29" s="102" t="str">
        <f t="shared" si="3"/>
        <v/>
      </c>
      <c r="AF29" s="102" t="str">
        <f t="shared" si="4"/>
        <v/>
      </c>
      <c r="AG29" s="42" t="str">
        <f t="shared" si="5"/>
        <v/>
      </c>
      <c r="AH29" s="48" t="str">
        <f t="shared" si="6"/>
        <v/>
      </c>
      <c r="AI29" s="2"/>
      <c r="AJ29" s="14"/>
      <c r="AK29" s="117"/>
      <c r="AL29" s="118"/>
      <c r="AM29" s="118"/>
      <c r="AN29" s="185"/>
      <c r="AO29" s="185"/>
      <c r="AP29" s="185"/>
      <c r="AQ29" s="185"/>
      <c r="AR29" s="185"/>
      <c r="AS29" s="186"/>
      <c r="BM29" s="151"/>
      <c r="CQ29" s="151"/>
    </row>
    <row r="30" spans="1:95" ht="15.75" x14ac:dyDescent="0.25">
      <c r="A30" s="107">
        <v>19</v>
      </c>
      <c r="B30" s="108"/>
      <c r="C30" s="108"/>
      <c r="D30" s="154"/>
      <c r="E30" s="159"/>
      <c r="F30" s="43"/>
      <c r="G30" s="44"/>
      <c r="H30" s="45"/>
      <c r="I30" s="43"/>
      <c r="J30" s="44"/>
      <c r="K30" s="45"/>
      <c r="L30" s="43"/>
      <c r="M30" s="44"/>
      <c r="N30" s="90"/>
      <c r="O30" s="43"/>
      <c r="P30" s="85"/>
      <c r="Q30" s="45"/>
      <c r="R30" s="43"/>
      <c r="S30" s="85"/>
      <c r="T30" s="45"/>
      <c r="U30" s="43"/>
      <c r="V30" s="85"/>
      <c r="W30" s="45"/>
      <c r="X30" s="46"/>
      <c r="Y30" s="47"/>
      <c r="Z30" s="31"/>
      <c r="AA30" s="32" t="str">
        <f t="shared" si="7"/>
        <v/>
      </c>
      <c r="AB30" s="33" t="str">
        <f t="shared" si="0"/>
        <v/>
      </c>
      <c r="AC30" s="33" t="str">
        <f t="shared" si="1"/>
        <v/>
      </c>
      <c r="AD30" s="101" t="str">
        <f t="shared" si="2"/>
        <v/>
      </c>
      <c r="AE30" s="101" t="str">
        <f t="shared" si="3"/>
        <v/>
      </c>
      <c r="AF30" s="101" t="str">
        <f t="shared" si="4"/>
        <v/>
      </c>
      <c r="AG30" s="34" t="str">
        <f t="shared" si="5"/>
        <v/>
      </c>
      <c r="AH30" s="48" t="str">
        <f t="shared" si="6"/>
        <v/>
      </c>
      <c r="AI30" s="2"/>
      <c r="AJ30" s="14"/>
      <c r="AK30" s="119"/>
      <c r="AL30" s="120"/>
      <c r="AM30" s="120"/>
      <c r="AN30" s="187"/>
      <c r="AO30" s="187"/>
      <c r="AP30" s="187"/>
      <c r="AQ30" s="187"/>
      <c r="AR30" s="187"/>
      <c r="AS30" s="188"/>
      <c r="BM30" s="151"/>
      <c r="CQ30" s="151"/>
    </row>
    <row r="31" spans="1:95" ht="15.75" x14ac:dyDescent="0.25">
      <c r="A31" s="19">
        <v>20</v>
      </c>
      <c r="B31" s="36"/>
      <c r="C31" s="36"/>
      <c r="D31" s="153"/>
      <c r="E31" s="160"/>
      <c r="F31" s="35"/>
      <c r="G31" s="36"/>
      <c r="H31" s="37"/>
      <c r="I31" s="35"/>
      <c r="J31" s="36"/>
      <c r="K31" s="37"/>
      <c r="L31" s="35"/>
      <c r="M31" s="36"/>
      <c r="N31" s="89"/>
      <c r="O31" s="35"/>
      <c r="P31" s="84"/>
      <c r="Q31" s="37"/>
      <c r="R31" s="35"/>
      <c r="S31" s="84"/>
      <c r="T31" s="37"/>
      <c r="U31" s="35"/>
      <c r="V31" s="84"/>
      <c r="W31" s="37"/>
      <c r="X31" s="38"/>
      <c r="Y31" s="39"/>
      <c r="Z31" s="31"/>
      <c r="AA31" s="40" t="str">
        <f t="shared" si="7"/>
        <v/>
      </c>
      <c r="AB31" s="41" t="str">
        <f t="shared" si="0"/>
        <v/>
      </c>
      <c r="AC31" s="41" t="str">
        <f t="shared" si="1"/>
        <v/>
      </c>
      <c r="AD31" s="102" t="str">
        <f t="shared" si="2"/>
        <v/>
      </c>
      <c r="AE31" s="102" t="str">
        <f t="shared" si="3"/>
        <v/>
      </c>
      <c r="AF31" s="102" t="str">
        <f t="shared" si="4"/>
        <v/>
      </c>
      <c r="AG31" s="42" t="str">
        <f t="shared" si="5"/>
        <v/>
      </c>
      <c r="AH31" s="48" t="str">
        <f t="shared" si="6"/>
        <v/>
      </c>
      <c r="AI31" s="2"/>
      <c r="AJ31" s="14"/>
      <c r="AK31" s="117"/>
      <c r="AL31" s="118"/>
      <c r="AM31" s="118"/>
      <c r="AN31" s="185"/>
      <c r="AO31" s="185"/>
      <c r="AP31" s="185"/>
      <c r="AQ31" s="185"/>
      <c r="AR31" s="185"/>
      <c r="AS31" s="186"/>
      <c r="BM31" s="151"/>
      <c r="CQ31" s="151"/>
    </row>
    <row r="32" spans="1:95" ht="15.75" x14ac:dyDescent="0.25">
      <c r="A32" s="107">
        <v>21</v>
      </c>
      <c r="B32" s="108"/>
      <c r="C32" s="108"/>
      <c r="D32" s="154"/>
      <c r="E32" s="159"/>
      <c r="F32" s="43"/>
      <c r="G32" s="44"/>
      <c r="H32" s="45"/>
      <c r="I32" s="43"/>
      <c r="J32" s="44"/>
      <c r="K32" s="45"/>
      <c r="L32" s="43"/>
      <c r="M32" s="44"/>
      <c r="N32" s="90"/>
      <c r="O32" s="43"/>
      <c r="P32" s="85"/>
      <c r="Q32" s="45"/>
      <c r="R32" s="43"/>
      <c r="S32" s="85"/>
      <c r="T32" s="45"/>
      <c r="U32" s="43"/>
      <c r="V32" s="85"/>
      <c r="W32" s="45"/>
      <c r="X32" s="46"/>
      <c r="Y32" s="47"/>
      <c r="Z32" s="31"/>
      <c r="AA32" s="26" t="str">
        <f t="shared" si="7"/>
        <v/>
      </c>
      <c r="AB32" s="27" t="str">
        <f t="shared" si="0"/>
        <v/>
      </c>
      <c r="AC32" s="27" t="str">
        <f t="shared" si="1"/>
        <v/>
      </c>
      <c r="AD32" s="88" t="str">
        <f t="shared" si="2"/>
        <v/>
      </c>
      <c r="AE32" s="88" t="str">
        <f t="shared" si="3"/>
        <v/>
      </c>
      <c r="AF32" s="88" t="str">
        <f t="shared" si="4"/>
        <v/>
      </c>
      <c r="AG32" s="28" t="str">
        <f t="shared" si="5"/>
        <v/>
      </c>
      <c r="AH32" s="48" t="str">
        <f t="shared" si="6"/>
        <v/>
      </c>
      <c r="AI32" s="2"/>
      <c r="AJ32" s="14"/>
      <c r="AK32" s="119"/>
      <c r="AL32" s="120"/>
      <c r="AM32" s="120"/>
      <c r="AN32" s="187"/>
      <c r="AO32" s="187"/>
      <c r="AP32" s="187"/>
      <c r="AQ32" s="187"/>
      <c r="AR32" s="187"/>
      <c r="AS32" s="188"/>
      <c r="BM32" s="151"/>
      <c r="CQ32" s="151"/>
    </row>
    <row r="33" spans="1:95" ht="15.75" x14ac:dyDescent="0.25">
      <c r="A33" s="19">
        <v>22</v>
      </c>
      <c r="B33" s="36"/>
      <c r="C33" s="36"/>
      <c r="D33" s="153"/>
      <c r="E33" s="84"/>
      <c r="F33" s="35"/>
      <c r="G33" s="36"/>
      <c r="H33" s="37"/>
      <c r="I33" s="35"/>
      <c r="J33" s="36"/>
      <c r="K33" s="37"/>
      <c r="L33" s="35"/>
      <c r="M33" s="36"/>
      <c r="N33" s="89"/>
      <c r="O33" s="35"/>
      <c r="P33" s="84"/>
      <c r="Q33" s="37"/>
      <c r="R33" s="35"/>
      <c r="S33" s="84"/>
      <c r="T33" s="37"/>
      <c r="U33" s="35"/>
      <c r="V33" s="84"/>
      <c r="W33" s="37"/>
      <c r="X33" s="38"/>
      <c r="Y33" s="39"/>
      <c r="Z33" s="31"/>
      <c r="AA33" s="40" t="str">
        <f t="shared" si="7"/>
        <v/>
      </c>
      <c r="AB33" s="41" t="str">
        <f t="shared" si="0"/>
        <v/>
      </c>
      <c r="AC33" s="41" t="str">
        <f t="shared" si="1"/>
        <v/>
      </c>
      <c r="AD33" s="102" t="str">
        <f t="shared" si="2"/>
        <v/>
      </c>
      <c r="AE33" s="102" t="str">
        <f t="shared" si="3"/>
        <v/>
      </c>
      <c r="AF33" s="102" t="str">
        <f t="shared" si="4"/>
        <v/>
      </c>
      <c r="AG33" s="42" t="str">
        <f t="shared" si="5"/>
        <v/>
      </c>
      <c r="AH33" s="48" t="str">
        <f t="shared" si="6"/>
        <v/>
      </c>
      <c r="AI33" s="2"/>
      <c r="AJ33" s="14"/>
      <c r="AK33" s="117"/>
      <c r="AL33" s="118"/>
      <c r="AM33" s="118"/>
      <c r="AN33" s="185"/>
      <c r="AO33" s="185"/>
      <c r="AP33" s="185"/>
      <c r="AQ33" s="185"/>
      <c r="AR33" s="185"/>
      <c r="AS33" s="186"/>
      <c r="BM33" s="151"/>
      <c r="CQ33" s="151"/>
    </row>
    <row r="34" spans="1:95" ht="15.75" x14ac:dyDescent="0.25">
      <c r="A34" s="107">
        <v>23</v>
      </c>
      <c r="B34" s="108"/>
      <c r="C34" s="108"/>
      <c r="D34" s="109"/>
      <c r="E34" s="161"/>
      <c r="F34" s="43"/>
      <c r="G34" s="44"/>
      <c r="H34" s="45"/>
      <c r="I34" s="43"/>
      <c r="J34" s="44"/>
      <c r="K34" s="45"/>
      <c r="L34" s="43"/>
      <c r="M34" s="44"/>
      <c r="N34" s="90"/>
      <c r="O34" s="43"/>
      <c r="P34" s="85"/>
      <c r="Q34" s="45"/>
      <c r="R34" s="43"/>
      <c r="S34" s="85"/>
      <c r="T34" s="45"/>
      <c r="U34" s="43"/>
      <c r="V34" s="85"/>
      <c r="W34" s="45"/>
      <c r="X34" s="46"/>
      <c r="Y34" s="47"/>
      <c r="Z34" s="31"/>
      <c r="AA34" s="26" t="str">
        <f t="shared" si="7"/>
        <v/>
      </c>
      <c r="AB34" s="27" t="str">
        <f t="shared" si="0"/>
        <v/>
      </c>
      <c r="AC34" s="27" t="str">
        <f t="shared" si="1"/>
        <v/>
      </c>
      <c r="AD34" s="88" t="str">
        <f t="shared" si="2"/>
        <v/>
      </c>
      <c r="AE34" s="88" t="str">
        <f t="shared" si="3"/>
        <v/>
      </c>
      <c r="AF34" s="88" t="str">
        <f t="shared" si="4"/>
        <v/>
      </c>
      <c r="AG34" s="28" t="str">
        <f t="shared" si="5"/>
        <v/>
      </c>
      <c r="AH34" s="48" t="str">
        <f t="shared" si="6"/>
        <v/>
      </c>
      <c r="AI34" s="2"/>
      <c r="AJ34" s="14"/>
      <c r="AK34" s="119"/>
      <c r="AL34" s="120"/>
      <c r="AM34" s="120"/>
      <c r="AN34" s="187"/>
      <c r="AO34" s="187"/>
      <c r="AP34" s="187"/>
      <c r="AQ34" s="187"/>
      <c r="AR34" s="187"/>
      <c r="AS34" s="188"/>
      <c r="BM34" s="151"/>
      <c r="CQ34" s="151"/>
    </row>
    <row r="35" spans="1:95" ht="15.75" x14ac:dyDescent="0.25">
      <c r="A35" s="19">
        <v>24</v>
      </c>
      <c r="B35" s="36"/>
      <c r="C35" s="36"/>
      <c r="D35" s="37"/>
      <c r="E35" s="84"/>
      <c r="F35" s="35"/>
      <c r="G35" s="36"/>
      <c r="H35" s="37"/>
      <c r="I35" s="35"/>
      <c r="J35" s="36"/>
      <c r="K35" s="37"/>
      <c r="L35" s="35"/>
      <c r="M35" s="36"/>
      <c r="N35" s="89"/>
      <c r="O35" s="35"/>
      <c r="P35" s="84"/>
      <c r="Q35" s="37"/>
      <c r="R35" s="35"/>
      <c r="S35" s="84"/>
      <c r="T35" s="37"/>
      <c r="U35" s="35"/>
      <c r="V35" s="84"/>
      <c r="W35" s="37"/>
      <c r="X35" s="38"/>
      <c r="Y35" s="39"/>
      <c r="Z35" s="31"/>
      <c r="AA35" s="40" t="str">
        <f t="shared" si="7"/>
        <v/>
      </c>
      <c r="AB35" s="41" t="str">
        <f t="shared" si="0"/>
        <v/>
      </c>
      <c r="AC35" s="41" t="str">
        <f t="shared" si="1"/>
        <v/>
      </c>
      <c r="AD35" s="102" t="str">
        <f t="shared" si="2"/>
        <v/>
      </c>
      <c r="AE35" s="102" t="str">
        <f t="shared" si="3"/>
        <v/>
      </c>
      <c r="AF35" s="102" t="str">
        <f t="shared" si="4"/>
        <v/>
      </c>
      <c r="AG35" s="42" t="str">
        <f t="shared" si="5"/>
        <v/>
      </c>
      <c r="AH35" s="48" t="str">
        <f t="shared" si="6"/>
        <v/>
      </c>
      <c r="AI35" s="2"/>
      <c r="AJ35" s="14"/>
      <c r="AK35" s="117"/>
      <c r="AL35" s="118"/>
      <c r="AM35" s="118"/>
      <c r="AN35" s="185"/>
      <c r="AO35" s="185"/>
      <c r="AP35" s="185"/>
      <c r="AQ35" s="185"/>
      <c r="AR35" s="185"/>
      <c r="AS35" s="186"/>
      <c r="BM35" s="151"/>
      <c r="CQ35" s="151"/>
    </row>
    <row r="36" spans="1:95" ht="15.75" x14ac:dyDescent="0.25">
      <c r="A36" s="107">
        <v>25</v>
      </c>
      <c r="B36" s="108"/>
      <c r="C36" s="108"/>
      <c r="D36" s="109"/>
      <c r="E36" s="161"/>
      <c r="F36" s="43"/>
      <c r="G36" s="44"/>
      <c r="H36" s="45"/>
      <c r="I36" s="43"/>
      <c r="J36" s="44"/>
      <c r="K36" s="45"/>
      <c r="L36" s="43"/>
      <c r="M36" s="44"/>
      <c r="N36" s="90"/>
      <c r="O36" s="43"/>
      <c r="P36" s="85"/>
      <c r="Q36" s="45"/>
      <c r="R36" s="43"/>
      <c r="S36" s="85"/>
      <c r="T36" s="45"/>
      <c r="U36" s="43"/>
      <c r="V36" s="85"/>
      <c r="W36" s="45"/>
      <c r="X36" s="46"/>
      <c r="Y36" s="47"/>
      <c r="Z36" s="31"/>
      <c r="AA36" s="26" t="str">
        <f t="shared" si="7"/>
        <v/>
      </c>
      <c r="AB36" s="27" t="str">
        <f t="shared" si="0"/>
        <v/>
      </c>
      <c r="AC36" s="27" t="str">
        <f t="shared" si="1"/>
        <v/>
      </c>
      <c r="AD36" s="88" t="str">
        <f t="shared" si="2"/>
        <v/>
      </c>
      <c r="AE36" s="88" t="str">
        <f t="shared" si="3"/>
        <v/>
      </c>
      <c r="AF36" s="88" t="str">
        <f t="shared" si="4"/>
        <v/>
      </c>
      <c r="AG36" s="28" t="str">
        <f t="shared" si="5"/>
        <v/>
      </c>
      <c r="AH36" s="48" t="str">
        <f t="shared" si="6"/>
        <v/>
      </c>
      <c r="AI36" s="2"/>
      <c r="AJ36" s="14"/>
      <c r="AK36" s="119"/>
      <c r="AL36" s="120"/>
      <c r="AM36" s="120"/>
      <c r="AN36" s="187"/>
      <c r="AO36" s="187"/>
      <c r="AP36" s="187"/>
      <c r="AQ36" s="187"/>
      <c r="AR36" s="187"/>
      <c r="AS36" s="188"/>
      <c r="BM36" s="151"/>
      <c r="CQ36" s="151"/>
    </row>
    <row r="37" spans="1:95" ht="15.75" x14ac:dyDescent="0.25">
      <c r="A37" s="19">
        <v>26</v>
      </c>
      <c r="B37" s="36"/>
      <c r="C37" s="36"/>
      <c r="D37" s="37"/>
      <c r="E37" s="84"/>
      <c r="F37" s="35"/>
      <c r="G37" s="36"/>
      <c r="H37" s="37"/>
      <c r="I37" s="35"/>
      <c r="J37" s="36"/>
      <c r="K37" s="37"/>
      <c r="L37" s="35"/>
      <c r="M37" s="36"/>
      <c r="N37" s="89"/>
      <c r="O37" s="35"/>
      <c r="P37" s="84"/>
      <c r="Q37" s="37"/>
      <c r="R37" s="35"/>
      <c r="S37" s="84"/>
      <c r="T37" s="37"/>
      <c r="U37" s="35"/>
      <c r="V37" s="84"/>
      <c r="W37" s="37"/>
      <c r="X37" s="38"/>
      <c r="Y37" s="39"/>
      <c r="Z37" s="31"/>
      <c r="AA37" s="40" t="str">
        <f t="shared" si="7"/>
        <v/>
      </c>
      <c r="AB37" s="41" t="str">
        <f t="shared" si="0"/>
        <v/>
      </c>
      <c r="AC37" s="41" t="str">
        <f t="shared" si="1"/>
        <v/>
      </c>
      <c r="AD37" s="102" t="str">
        <f t="shared" si="2"/>
        <v/>
      </c>
      <c r="AE37" s="102" t="str">
        <f t="shared" si="3"/>
        <v/>
      </c>
      <c r="AF37" s="102" t="str">
        <f t="shared" si="4"/>
        <v/>
      </c>
      <c r="AG37" s="42" t="str">
        <f t="shared" si="5"/>
        <v/>
      </c>
      <c r="AH37" s="48" t="str">
        <f t="shared" si="6"/>
        <v/>
      </c>
      <c r="AI37" s="2"/>
      <c r="AJ37" s="14"/>
      <c r="AK37" s="117"/>
      <c r="AL37" s="118"/>
      <c r="AM37" s="118"/>
      <c r="AN37" s="192"/>
      <c r="AO37" s="192"/>
      <c r="AP37" s="192"/>
      <c r="AQ37" s="185"/>
      <c r="AR37" s="185"/>
      <c r="AS37" s="186"/>
      <c r="BM37" s="151"/>
      <c r="CQ37" s="151"/>
    </row>
    <row r="38" spans="1:95" ht="15.75" x14ac:dyDescent="0.25">
      <c r="A38" s="107">
        <v>27</v>
      </c>
      <c r="B38" s="108"/>
      <c r="C38" s="108"/>
      <c r="D38" s="109"/>
      <c r="E38" s="161"/>
      <c r="F38" s="43"/>
      <c r="G38" s="44"/>
      <c r="H38" s="45"/>
      <c r="I38" s="43"/>
      <c r="J38" s="44"/>
      <c r="K38" s="45"/>
      <c r="L38" s="43"/>
      <c r="M38" s="44"/>
      <c r="N38" s="90"/>
      <c r="O38" s="43"/>
      <c r="P38" s="85"/>
      <c r="Q38" s="45"/>
      <c r="R38" s="43"/>
      <c r="S38" s="85"/>
      <c r="T38" s="45"/>
      <c r="U38" s="43"/>
      <c r="V38" s="85"/>
      <c r="W38" s="45"/>
      <c r="X38" s="46"/>
      <c r="Y38" s="47"/>
      <c r="Z38" s="31"/>
      <c r="AA38" s="26" t="str">
        <f t="shared" si="7"/>
        <v/>
      </c>
      <c r="AB38" s="27" t="str">
        <f t="shared" si="0"/>
        <v/>
      </c>
      <c r="AC38" s="27" t="str">
        <f t="shared" si="1"/>
        <v/>
      </c>
      <c r="AD38" s="88" t="str">
        <f t="shared" si="2"/>
        <v/>
      </c>
      <c r="AE38" s="88" t="str">
        <f t="shared" si="3"/>
        <v/>
      </c>
      <c r="AF38" s="88" t="str">
        <f t="shared" si="4"/>
        <v/>
      </c>
      <c r="AG38" s="28" t="str">
        <f t="shared" si="5"/>
        <v/>
      </c>
      <c r="AH38" s="48" t="str">
        <f t="shared" si="6"/>
        <v/>
      </c>
      <c r="AI38" s="2"/>
      <c r="AJ38" s="14"/>
      <c r="AK38" s="119"/>
      <c r="AL38" s="120"/>
      <c r="AM38" s="120"/>
      <c r="AN38" s="191"/>
      <c r="AO38" s="191"/>
      <c r="AP38" s="191"/>
      <c r="AQ38" s="187"/>
      <c r="AR38" s="187"/>
      <c r="AS38" s="188"/>
      <c r="BM38" s="151"/>
      <c r="CQ38" s="151"/>
    </row>
    <row r="39" spans="1:95" ht="15.75" x14ac:dyDescent="0.25">
      <c r="A39" s="19">
        <v>28</v>
      </c>
      <c r="B39" s="36"/>
      <c r="C39" s="36"/>
      <c r="D39" s="37"/>
      <c r="E39" s="84"/>
      <c r="F39" s="35"/>
      <c r="G39" s="36"/>
      <c r="H39" s="37"/>
      <c r="I39" s="35"/>
      <c r="J39" s="36"/>
      <c r="K39" s="37"/>
      <c r="L39" s="35"/>
      <c r="M39" s="36"/>
      <c r="N39" s="89"/>
      <c r="O39" s="35"/>
      <c r="P39" s="84"/>
      <c r="Q39" s="37"/>
      <c r="R39" s="35"/>
      <c r="S39" s="84"/>
      <c r="T39" s="37"/>
      <c r="U39" s="35"/>
      <c r="V39" s="84"/>
      <c r="W39" s="37"/>
      <c r="X39" s="38"/>
      <c r="Y39" s="39"/>
      <c r="Z39" s="31"/>
      <c r="AA39" s="40" t="str">
        <f t="shared" si="7"/>
        <v/>
      </c>
      <c r="AB39" s="41" t="str">
        <f t="shared" si="0"/>
        <v/>
      </c>
      <c r="AC39" s="41" t="str">
        <f t="shared" si="1"/>
        <v/>
      </c>
      <c r="AD39" s="102" t="str">
        <f t="shared" si="2"/>
        <v/>
      </c>
      <c r="AE39" s="102" t="str">
        <f t="shared" si="3"/>
        <v/>
      </c>
      <c r="AF39" s="102" t="str">
        <f t="shared" si="4"/>
        <v/>
      </c>
      <c r="AG39" s="42" t="str">
        <f t="shared" si="5"/>
        <v/>
      </c>
      <c r="AH39" s="48" t="str">
        <f t="shared" si="6"/>
        <v/>
      </c>
      <c r="AI39" s="2"/>
      <c r="AJ39" s="14"/>
      <c r="AK39" s="117"/>
      <c r="AL39" s="118"/>
      <c r="AM39" s="118"/>
      <c r="AN39" s="192"/>
      <c r="AO39" s="192"/>
      <c r="AP39" s="192"/>
      <c r="AQ39" s="185"/>
      <c r="AR39" s="185"/>
      <c r="AS39" s="186"/>
      <c r="BM39" s="151"/>
      <c r="CQ39" s="151"/>
    </row>
    <row r="40" spans="1:95" ht="15.75" x14ac:dyDescent="0.25">
      <c r="A40" s="107">
        <v>29</v>
      </c>
      <c r="B40" s="108"/>
      <c r="C40" s="108"/>
      <c r="D40" s="109"/>
      <c r="E40" s="161"/>
      <c r="F40" s="43"/>
      <c r="G40" s="44"/>
      <c r="H40" s="45"/>
      <c r="I40" s="43"/>
      <c r="J40" s="44"/>
      <c r="K40" s="45"/>
      <c r="L40" s="43"/>
      <c r="M40" s="44"/>
      <c r="N40" s="90"/>
      <c r="O40" s="43"/>
      <c r="P40" s="85"/>
      <c r="Q40" s="45"/>
      <c r="R40" s="43"/>
      <c r="S40" s="85"/>
      <c r="T40" s="45"/>
      <c r="U40" s="43"/>
      <c r="V40" s="85"/>
      <c r="W40" s="45"/>
      <c r="X40" s="46"/>
      <c r="Y40" s="47"/>
      <c r="Z40" s="31"/>
      <c r="AA40" s="26" t="str">
        <f t="shared" si="7"/>
        <v/>
      </c>
      <c r="AB40" s="27" t="str">
        <f t="shared" si="0"/>
        <v/>
      </c>
      <c r="AC40" s="27" t="str">
        <f t="shared" si="1"/>
        <v/>
      </c>
      <c r="AD40" s="88" t="str">
        <f t="shared" si="2"/>
        <v/>
      </c>
      <c r="AE40" s="88" t="str">
        <f t="shared" si="3"/>
        <v/>
      </c>
      <c r="AF40" s="88" t="str">
        <f t="shared" si="4"/>
        <v/>
      </c>
      <c r="AG40" s="28" t="str">
        <f t="shared" si="5"/>
        <v/>
      </c>
      <c r="AH40" s="48" t="str">
        <f t="shared" si="6"/>
        <v/>
      </c>
      <c r="AI40" s="2"/>
      <c r="AJ40" s="14"/>
      <c r="AK40" s="119"/>
      <c r="AL40" s="120"/>
      <c r="AM40" s="120"/>
      <c r="AN40" s="191"/>
      <c r="AO40" s="191"/>
      <c r="AP40" s="191"/>
      <c r="AQ40" s="187"/>
      <c r="AR40" s="187"/>
      <c r="AS40" s="188"/>
      <c r="BM40" s="151"/>
      <c r="CQ40" s="151"/>
    </row>
    <row r="41" spans="1:95" ht="15.75" x14ac:dyDescent="0.25">
      <c r="A41" s="19">
        <v>30</v>
      </c>
      <c r="B41" s="36"/>
      <c r="C41" s="36"/>
      <c r="D41" s="37"/>
      <c r="E41" s="84"/>
      <c r="F41" s="35"/>
      <c r="G41" s="36"/>
      <c r="H41" s="37"/>
      <c r="I41" s="35"/>
      <c r="J41" s="36"/>
      <c r="K41" s="37"/>
      <c r="L41" s="35"/>
      <c r="M41" s="36"/>
      <c r="N41" s="89"/>
      <c r="O41" s="35"/>
      <c r="P41" s="84"/>
      <c r="Q41" s="37"/>
      <c r="R41" s="35"/>
      <c r="S41" s="84"/>
      <c r="T41" s="37"/>
      <c r="U41" s="35"/>
      <c r="V41" s="84"/>
      <c r="W41" s="37"/>
      <c r="X41" s="38"/>
      <c r="Y41" s="39"/>
      <c r="Z41" s="31"/>
      <c r="AA41" s="40" t="str">
        <f t="shared" si="7"/>
        <v/>
      </c>
      <c r="AB41" s="41" t="str">
        <f t="shared" si="0"/>
        <v/>
      </c>
      <c r="AC41" s="41" t="str">
        <f t="shared" si="1"/>
        <v/>
      </c>
      <c r="AD41" s="102" t="str">
        <f t="shared" si="2"/>
        <v/>
      </c>
      <c r="AE41" s="102" t="str">
        <f t="shared" si="3"/>
        <v/>
      </c>
      <c r="AF41" s="102" t="str">
        <f t="shared" si="4"/>
        <v/>
      </c>
      <c r="AG41" s="42" t="str">
        <f t="shared" si="5"/>
        <v/>
      </c>
      <c r="AH41" s="48" t="str">
        <f t="shared" si="6"/>
        <v/>
      </c>
      <c r="AI41" s="2"/>
      <c r="AJ41" s="14"/>
      <c r="AK41" s="74"/>
      <c r="AL41" s="72"/>
      <c r="AM41" s="72"/>
      <c r="AN41" s="192"/>
      <c r="AO41" s="192"/>
      <c r="AP41" s="192"/>
      <c r="AQ41" s="185"/>
      <c r="AR41" s="185"/>
      <c r="AS41" s="186"/>
      <c r="BM41" s="151"/>
      <c r="CQ41" s="151"/>
    </row>
    <row r="42" spans="1:95" ht="15.75" x14ac:dyDescent="0.25">
      <c r="A42" s="107">
        <v>31</v>
      </c>
      <c r="B42" s="108"/>
      <c r="C42" s="108"/>
      <c r="D42" s="109"/>
      <c r="E42" s="161"/>
      <c r="F42" s="43"/>
      <c r="G42" s="44"/>
      <c r="H42" s="45"/>
      <c r="I42" s="43"/>
      <c r="J42" s="44"/>
      <c r="K42" s="45"/>
      <c r="L42" s="43"/>
      <c r="M42" s="44"/>
      <c r="N42" s="90"/>
      <c r="O42" s="43"/>
      <c r="P42" s="85"/>
      <c r="Q42" s="45"/>
      <c r="R42" s="43"/>
      <c r="S42" s="85"/>
      <c r="T42" s="45"/>
      <c r="U42" s="43"/>
      <c r="V42" s="85"/>
      <c r="W42" s="45"/>
      <c r="X42" s="46"/>
      <c r="Y42" s="47"/>
      <c r="Z42" s="31"/>
      <c r="AA42" s="26" t="str">
        <f t="shared" si="7"/>
        <v/>
      </c>
      <c r="AB42" s="27" t="str">
        <f t="shared" si="0"/>
        <v/>
      </c>
      <c r="AC42" s="27" t="str">
        <f t="shared" si="1"/>
        <v/>
      </c>
      <c r="AD42" s="88" t="str">
        <f t="shared" si="2"/>
        <v/>
      </c>
      <c r="AE42" s="88" t="str">
        <f t="shared" si="3"/>
        <v/>
      </c>
      <c r="AF42" s="88" t="str">
        <f t="shared" si="4"/>
        <v/>
      </c>
      <c r="AG42" s="28" t="str">
        <f t="shared" si="5"/>
        <v/>
      </c>
      <c r="AH42" s="48" t="str">
        <f t="shared" si="6"/>
        <v/>
      </c>
      <c r="AI42" s="2"/>
      <c r="AJ42" s="14"/>
      <c r="AK42" s="75"/>
      <c r="AL42" s="120"/>
      <c r="AM42" s="120"/>
      <c r="AN42" s="187"/>
      <c r="AO42" s="187"/>
      <c r="AP42" s="187"/>
      <c r="AQ42" s="187"/>
      <c r="AR42" s="187"/>
      <c r="AS42" s="188"/>
      <c r="BM42" s="151"/>
      <c r="CQ42" s="151"/>
    </row>
    <row r="43" spans="1:95" ht="15.75" x14ac:dyDescent="0.25">
      <c r="A43" s="19">
        <v>32</v>
      </c>
      <c r="B43" s="36"/>
      <c r="C43" s="36"/>
      <c r="D43" s="37"/>
      <c r="E43" s="84"/>
      <c r="F43" s="35"/>
      <c r="G43" s="36"/>
      <c r="H43" s="37"/>
      <c r="I43" s="35"/>
      <c r="J43" s="36"/>
      <c r="K43" s="37"/>
      <c r="L43" s="35"/>
      <c r="M43" s="36"/>
      <c r="N43" s="89"/>
      <c r="O43" s="35"/>
      <c r="P43" s="84"/>
      <c r="Q43" s="37"/>
      <c r="R43" s="35"/>
      <c r="S43" s="84"/>
      <c r="T43" s="37"/>
      <c r="U43" s="35"/>
      <c r="V43" s="84"/>
      <c r="W43" s="37"/>
      <c r="X43" s="38"/>
      <c r="Y43" s="39"/>
      <c r="Z43" s="31"/>
      <c r="AA43" s="40" t="str">
        <f t="shared" si="7"/>
        <v/>
      </c>
      <c r="AB43" s="41" t="str">
        <f t="shared" si="0"/>
        <v/>
      </c>
      <c r="AC43" s="41" t="str">
        <f t="shared" si="1"/>
        <v/>
      </c>
      <c r="AD43" s="102" t="str">
        <f t="shared" si="2"/>
        <v/>
      </c>
      <c r="AE43" s="102" t="str">
        <f t="shared" si="3"/>
        <v/>
      </c>
      <c r="AF43" s="102" t="str">
        <f t="shared" si="4"/>
        <v/>
      </c>
      <c r="AG43" s="42" t="str">
        <f t="shared" si="5"/>
        <v/>
      </c>
      <c r="AH43" s="48" t="str">
        <f t="shared" si="6"/>
        <v/>
      </c>
      <c r="AI43" s="2"/>
      <c r="AJ43" s="14"/>
      <c r="AK43" s="117"/>
      <c r="AL43" s="118"/>
      <c r="AM43" s="118"/>
      <c r="AN43" s="185"/>
      <c r="AO43" s="185"/>
      <c r="AP43" s="185"/>
      <c r="AQ43" s="185"/>
      <c r="AR43" s="185"/>
      <c r="AS43" s="186"/>
      <c r="BM43" s="151"/>
      <c r="CQ43" s="151"/>
    </row>
    <row r="44" spans="1:95" ht="15.75" x14ac:dyDescent="0.25">
      <c r="A44" s="107">
        <v>33</v>
      </c>
      <c r="B44" s="108"/>
      <c r="C44" s="108"/>
      <c r="D44" s="109"/>
      <c r="E44" s="161"/>
      <c r="F44" s="43"/>
      <c r="G44" s="44"/>
      <c r="H44" s="45"/>
      <c r="I44" s="43"/>
      <c r="J44" s="44"/>
      <c r="K44" s="45"/>
      <c r="L44" s="43"/>
      <c r="M44" s="44"/>
      <c r="N44" s="90"/>
      <c r="O44" s="43"/>
      <c r="P44" s="85"/>
      <c r="Q44" s="45"/>
      <c r="R44" s="43"/>
      <c r="S44" s="85"/>
      <c r="T44" s="45"/>
      <c r="U44" s="43"/>
      <c r="V44" s="85"/>
      <c r="W44" s="45"/>
      <c r="X44" s="46"/>
      <c r="Y44" s="47"/>
      <c r="Z44" s="31"/>
      <c r="AA44" s="32" t="str">
        <f t="shared" si="7"/>
        <v/>
      </c>
      <c r="AB44" s="33" t="str">
        <f t="shared" si="0"/>
        <v/>
      </c>
      <c r="AC44" s="33" t="str">
        <f t="shared" si="1"/>
        <v/>
      </c>
      <c r="AD44" s="101" t="str">
        <f t="shared" si="2"/>
        <v/>
      </c>
      <c r="AE44" s="101" t="str">
        <f t="shared" si="3"/>
        <v/>
      </c>
      <c r="AF44" s="101" t="str">
        <f t="shared" si="4"/>
        <v/>
      </c>
      <c r="AG44" s="34" t="str">
        <f t="shared" si="5"/>
        <v/>
      </c>
      <c r="AH44" s="48" t="str">
        <f t="shared" si="6"/>
        <v/>
      </c>
      <c r="AI44" s="2"/>
      <c r="AJ44" s="14"/>
      <c r="AK44" s="119"/>
      <c r="AL44" s="120"/>
      <c r="AM44" s="120"/>
      <c r="AN44" s="187"/>
      <c r="AO44" s="187"/>
      <c r="AP44" s="187"/>
      <c r="AQ44" s="187"/>
      <c r="AR44" s="187"/>
      <c r="AS44" s="188"/>
      <c r="BM44" s="151"/>
      <c r="CQ44" s="151"/>
    </row>
    <row r="45" spans="1:95" ht="15.75" x14ac:dyDescent="0.25">
      <c r="A45" s="19">
        <v>34</v>
      </c>
      <c r="B45" s="36"/>
      <c r="C45" s="36"/>
      <c r="D45" s="37"/>
      <c r="E45" s="84"/>
      <c r="F45" s="35"/>
      <c r="G45" s="36"/>
      <c r="H45" s="37"/>
      <c r="I45" s="35"/>
      <c r="J45" s="36"/>
      <c r="K45" s="37"/>
      <c r="L45" s="35"/>
      <c r="M45" s="36"/>
      <c r="N45" s="89"/>
      <c r="O45" s="35"/>
      <c r="P45" s="84"/>
      <c r="Q45" s="37"/>
      <c r="R45" s="35"/>
      <c r="S45" s="84"/>
      <c r="T45" s="37"/>
      <c r="U45" s="35"/>
      <c r="V45" s="84"/>
      <c r="W45" s="37"/>
      <c r="X45" s="38"/>
      <c r="Y45" s="39"/>
      <c r="Z45" s="31"/>
      <c r="AA45" s="40" t="str">
        <f t="shared" si="7"/>
        <v/>
      </c>
      <c r="AB45" s="41" t="str">
        <f t="shared" si="0"/>
        <v/>
      </c>
      <c r="AC45" s="41" t="str">
        <f t="shared" si="1"/>
        <v/>
      </c>
      <c r="AD45" s="102" t="str">
        <f t="shared" si="2"/>
        <v/>
      </c>
      <c r="AE45" s="102" t="str">
        <f t="shared" si="3"/>
        <v/>
      </c>
      <c r="AF45" s="102" t="str">
        <f t="shared" si="4"/>
        <v/>
      </c>
      <c r="AG45" s="42" t="str">
        <f t="shared" si="5"/>
        <v/>
      </c>
      <c r="AH45" s="48" t="str">
        <f t="shared" si="6"/>
        <v/>
      </c>
      <c r="AI45" s="2"/>
      <c r="AJ45" s="14"/>
      <c r="AK45" s="117"/>
      <c r="AL45" s="118"/>
      <c r="AM45" s="118"/>
      <c r="AN45" s="185"/>
      <c r="AO45" s="185"/>
      <c r="AP45" s="185"/>
      <c r="AQ45" s="185"/>
      <c r="AR45" s="185"/>
      <c r="AS45" s="186"/>
      <c r="BM45" s="151"/>
      <c r="CQ45" s="151"/>
    </row>
    <row r="46" spans="1:95" ht="15.75" x14ac:dyDescent="0.25">
      <c r="A46" s="107">
        <v>35</v>
      </c>
      <c r="B46" s="108"/>
      <c r="C46" s="108"/>
      <c r="D46" s="109"/>
      <c r="E46" s="161"/>
      <c r="F46" s="43"/>
      <c r="G46" s="44"/>
      <c r="H46" s="45"/>
      <c r="I46" s="43"/>
      <c r="J46" s="44"/>
      <c r="K46" s="45"/>
      <c r="L46" s="43"/>
      <c r="M46" s="44"/>
      <c r="N46" s="90"/>
      <c r="O46" s="43"/>
      <c r="P46" s="85"/>
      <c r="Q46" s="45"/>
      <c r="R46" s="43"/>
      <c r="S46" s="85"/>
      <c r="T46" s="45"/>
      <c r="U46" s="43"/>
      <c r="V46" s="85"/>
      <c r="W46" s="45"/>
      <c r="X46" s="46"/>
      <c r="Y46" s="47"/>
      <c r="Z46" s="31"/>
      <c r="AA46" s="32" t="str">
        <f t="shared" si="7"/>
        <v/>
      </c>
      <c r="AB46" s="33" t="str">
        <f t="shared" si="0"/>
        <v/>
      </c>
      <c r="AC46" s="33" t="str">
        <f t="shared" si="1"/>
        <v/>
      </c>
      <c r="AD46" s="101" t="str">
        <f t="shared" si="2"/>
        <v/>
      </c>
      <c r="AE46" s="101" t="str">
        <f t="shared" si="3"/>
        <v/>
      </c>
      <c r="AF46" s="101" t="str">
        <f t="shared" si="4"/>
        <v/>
      </c>
      <c r="AG46" s="34" t="str">
        <f t="shared" si="5"/>
        <v/>
      </c>
      <c r="AH46" s="48" t="str">
        <f t="shared" si="6"/>
        <v/>
      </c>
      <c r="AI46" s="2"/>
      <c r="AJ46" s="14"/>
      <c r="AK46" s="119"/>
      <c r="AL46" s="120"/>
      <c r="AM46" s="120"/>
      <c r="AN46" s="187"/>
      <c r="AO46" s="187"/>
      <c r="AP46" s="187"/>
      <c r="AQ46" s="187"/>
      <c r="AR46" s="187"/>
      <c r="AS46" s="188"/>
      <c r="BM46" s="151"/>
      <c r="CQ46" s="151"/>
    </row>
    <row r="47" spans="1:95" ht="15.75" x14ac:dyDescent="0.25">
      <c r="A47" s="19">
        <v>36</v>
      </c>
      <c r="B47" s="36"/>
      <c r="C47" s="36"/>
      <c r="D47" s="37"/>
      <c r="E47" s="84"/>
      <c r="F47" s="35"/>
      <c r="G47" s="36"/>
      <c r="H47" s="37"/>
      <c r="I47" s="35"/>
      <c r="J47" s="36"/>
      <c r="K47" s="37"/>
      <c r="L47" s="35"/>
      <c r="M47" s="36"/>
      <c r="N47" s="89"/>
      <c r="O47" s="35"/>
      <c r="P47" s="84"/>
      <c r="Q47" s="37"/>
      <c r="R47" s="35"/>
      <c r="S47" s="84"/>
      <c r="T47" s="37"/>
      <c r="U47" s="35"/>
      <c r="V47" s="84"/>
      <c r="W47" s="37"/>
      <c r="X47" s="38"/>
      <c r="Y47" s="39"/>
      <c r="Z47" s="31"/>
      <c r="AA47" s="40" t="str">
        <f t="shared" si="7"/>
        <v/>
      </c>
      <c r="AB47" s="41" t="str">
        <f t="shared" si="0"/>
        <v/>
      </c>
      <c r="AC47" s="41" t="str">
        <f t="shared" si="1"/>
        <v/>
      </c>
      <c r="AD47" s="102" t="str">
        <f t="shared" si="2"/>
        <v/>
      </c>
      <c r="AE47" s="102" t="str">
        <f t="shared" si="3"/>
        <v/>
      </c>
      <c r="AF47" s="102" t="str">
        <f t="shared" si="4"/>
        <v/>
      </c>
      <c r="AG47" s="42" t="str">
        <f t="shared" si="5"/>
        <v/>
      </c>
      <c r="AH47" s="48" t="str">
        <f t="shared" si="6"/>
        <v/>
      </c>
      <c r="AI47" s="2"/>
      <c r="AJ47" s="14"/>
      <c r="AK47" s="117"/>
      <c r="AL47" s="118"/>
      <c r="AM47" s="118"/>
      <c r="AN47" s="185"/>
      <c r="AO47" s="185"/>
      <c r="AP47" s="185"/>
      <c r="AQ47" s="185"/>
      <c r="AR47" s="185"/>
      <c r="AS47" s="186"/>
      <c r="BM47" s="151"/>
      <c r="CQ47" s="151"/>
    </row>
    <row r="48" spans="1:95" ht="15.75" x14ac:dyDescent="0.25">
      <c r="A48" s="107">
        <v>37</v>
      </c>
      <c r="B48" s="108"/>
      <c r="C48" s="108"/>
      <c r="D48" s="109"/>
      <c r="E48" s="161"/>
      <c r="F48" s="43"/>
      <c r="G48" s="44"/>
      <c r="H48" s="45"/>
      <c r="I48" s="43"/>
      <c r="J48" s="44"/>
      <c r="K48" s="45"/>
      <c r="L48" s="43"/>
      <c r="M48" s="44"/>
      <c r="N48" s="90"/>
      <c r="O48" s="43"/>
      <c r="P48" s="85"/>
      <c r="Q48" s="45"/>
      <c r="R48" s="43"/>
      <c r="S48" s="85"/>
      <c r="T48" s="45"/>
      <c r="U48" s="43"/>
      <c r="V48" s="85"/>
      <c r="W48" s="45"/>
      <c r="X48" s="46"/>
      <c r="Y48" s="47"/>
      <c r="Z48" s="31"/>
      <c r="AA48" s="32" t="str">
        <f t="shared" si="7"/>
        <v/>
      </c>
      <c r="AB48" s="33" t="str">
        <f t="shared" si="0"/>
        <v/>
      </c>
      <c r="AC48" s="33" t="str">
        <f t="shared" si="1"/>
        <v/>
      </c>
      <c r="AD48" s="101" t="str">
        <f t="shared" si="2"/>
        <v/>
      </c>
      <c r="AE48" s="101" t="str">
        <f t="shared" si="3"/>
        <v/>
      </c>
      <c r="AF48" s="101" t="str">
        <f t="shared" si="4"/>
        <v/>
      </c>
      <c r="AG48" s="34" t="str">
        <f t="shared" si="5"/>
        <v/>
      </c>
      <c r="AH48" s="48" t="str">
        <f t="shared" si="6"/>
        <v/>
      </c>
      <c r="AI48" s="2"/>
      <c r="AJ48" s="14"/>
      <c r="AK48" s="119"/>
      <c r="AL48" s="120"/>
      <c r="AM48" s="120"/>
      <c r="AN48" s="187"/>
      <c r="AO48" s="187"/>
      <c r="AP48" s="187"/>
      <c r="AQ48" s="187"/>
      <c r="AR48" s="187"/>
      <c r="AS48" s="188"/>
      <c r="BM48" s="151"/>
      <c r="CQ48" s="151"/>
    </row>
    <row r="49" spans="1:95" ht="15.75" x14ac:dyDescent="0.25">
      <c r="A49" s="19">
        <v>38</v>
      </c>
      <c r="B49" s="36"/>
      <c r="C49" s="36"/>
      <c r="D49" s="37"/>
      <c r="E49" s="84"/>
      <c r="F49" s="35"/>
      <c r="G49" s="36"/>
      <c r="H49" s="37"/>
      <c r="I49" s="35"/>
      <c r="J49" s="36"/>
      <c r="K49" s="37"/>
      <c r="L49" s="35"/>
      <c r="M49" s="36"/>
      <c r="N49" s="89"/>
      <c r="O49" s="35"/>
      <c r="P49" s="84"/>
      <c r="Q49" s="37"/>
      <c r="R49" s="35"/>
      <c r="S49" s="84"/>
      <c r="T49" s="37"/>
      <c r="U49" s="35"/>
      <c r="V49" s="84"/>
      <c r="W49" s="37"/>
      <c r="X49" s="38"/>
      <c r="Y49" s="39"/>
      <c r="Z49" s="31"/>
      <c r="AA49" s="40" t="str">
        <f t="shared" si="7"/>
        <v/>
      </c>
      <c r="AB49" s="41" t="str">
        <f t="shared" si="0"/>
        <v/>
      </c>
      <c r="AC49" s="41" t="str">
        <f t="shared" si="1"/>
        <v/>
      </c>
      <c r="AD49" s="102" t="str">
        <f t="shared" si="2"/>
        <v/>
      </c>
      <c r="AE49" s="102" t="str">
        <f t="shared" si="3"/>
        <v/>
      </c>
      <c r="AF49" s="102" t="str">
        <f t="shared" si="4"/>
        <v/>
      </c>
      <c r="AG49" s="42" t="str">
        <f t="shared" si="5"/>
        <v/>
      </c>
      <c r="AH49" s="48" t="str">
        <f t="shared" si="6"/>
        <v/>
      </c>
      <c r="AI49" s="2"/>
      <c r="AJ49" s="14"/>
      <c r="AK49" s="117"/>
      <c r="AL49" s="118"/>
      <c r="AM49" s="118"/>
      <c r="AN49" s="185"/>
      <c r="AO49" s="185"/>
      <c r="AP49" s="185"/>
      <c r="AQ49" s="185"/>
      <c r="AR49" s="185"/>
      <c r="AS49" s="186"/>
      <c r="BM49" s="151"/>
      <c r="CQ49" s="151"/>
    </row>
    <row r="50" spans="1:95" ht="15.75" x14ac:dyDescent="0.25">
      <c r="A50" s="107">
        <v>39</v>
      </c>
      <c r="B50" s="108"/>
      <c r="C50" s="108"/>
      <c r="D50" s="109"/>
      <c r="E50" s="161"/>
      <c r="F50" s="43"/>
      <c r="G50" s="44"/>
      <c r="H50" s="45"/>
      <c r="I50" s="43"/>
      <c r="J50" s="44"/>
      <c r="K50" s="45"/>
      <c r="L50" s="43"/>
      <c r="M50" s="44"/>
      <c r="N50" s="90"/>
      <c r="O50" s="43"/>
      <c r="P50" s="85"/>
      <c r="Q50" s="45"/>
      <c r="R50" s="43"/>
      <c r="S50" s="85"/>
      <c r="T50" s="45"/>
      <c r="U50" s="43"/>
      <c r="V50" s="85"/>
      <c r="W50" s="45"/>
      <c r="X50" s="46"/>
      <c r="Y50" s="47"/>
      <c r="Z50" s="31"/>
      <c r="AA50" s="32" t="str">
        <f t="shared" si="7"/>
        <v/>
      </c>
      <c r="AB50" s="33" t="str">
        <f t="shared" si="0"/>
        <v/>
      </c>
      <c r="AC50" s="33" t="str">
        <f t="shared" si="1"/>
        <v/>
      </c>
      <c r="AD50" s="101" t="str">
        <f t="shared" si="2"/>
        <v/>
      </c>
      <c r="AE50" s="101" t="str">
        <f t="shared" si="3"/>
        <v/>
      </c>
      <c r="AF50" s="101" t="str">
        <f t="shared" si="4"/>
        <v/>
      </c>
      <c r="AG50" s="34" t="str">
        <f t="shared" si="5"/>
        <v/>
      </c>
      <c r="AH50" s="48" t="str">
        <f t="shared" si="6"/>
        <v/>
      </c>
      <c r="AI50" s="2"/>
      <c r="AJ50" s="14"/>
      <c r="AK50" s="119"/>
      <c r="AL50" s="120"/>
      <c r="AM50" s="120"/>
      <c r="AN50" s="187"/>
      <c r="AO50" s="187"/>
      <c r="AP50" s="187"/>
      <c r="AQ50" s="187"/>
      <c r="AR50" s="187"/>
      <c r="AS50" s="188"/>
      <c r="BM50" s="151"/>
      <c r="CQ50" s="151"/>
    </row>
    <row r="51" spans="1:95" ht="15.75" x14ac:dyDescent="0.25">
      <c r="A51" s="19">
        <v>40</v>
      </c>
      <c r="B51" s="36"/>
      <c r="C51" s="36"/>
      <c r="D51" s="37"/>
      <c r="E51" s="84"/>
      <c r="F51" s="35"/>
      <c r="G51" s="36"/>
      <c r="H51" s="37"/>
      <c r="I51" s="35"/>
      <c r="J51" s="36"/>
      <c r="K51" s="37"/>
      <c r="L51" s="35"/>
      <c r="M51" s="36"/>
      <c r="N51" s="89"/>
      <c r="O51" s="35"/>
      <c r="P51" s="84"/>
      <c r="Q51" s="37"/>
      <c r="R51" s="35"/>
      <c r="S51" s="84"/>
      <c r="T51" s="37"/>
      <c r="U51" s="35"/>
      <c r="V51" s="84"/>
      <c r="W51" s="37"/>
      <c r="X51" s="38"/>
      <c r="Y51" s="39"/>
      <c r="Z51" s="31"/>
      <c r="AA51" s="40" t="str">
        <f t="shared" si="7"/>
        <v/>
      </c>
      <c r="AB51" s="41" t="str">
        <f t="shared" si="0"/>
        <v/>
      </c>
      <c r="AC51" s="41" t="str">
        <f t="shared" si="1"/>
        <v/>
      </c>
      <c r="AD51" s="102" t="str">
        <f t="shared" si="2"/>
        <v/>
      </c>
      <c r="AE51" s="102" t="str">
        <f t="shared" si="3"/>
        <v/>
      </c>
      <c r="AF51" s="102" t="str">
        <f t="shared" si="4"/>
        <v/>
      </c>
      <c r="AG51" s="42" t="str">
        <f t="shared" si="5"/>
        <v/>
      </c>
      <c r="AH51" s="48" t="str">
        <f t="shared" si="6"/>
        <v/>
      </c>
      <c r="AI51" s="2"/>
      <c r="AJ51" s="14"/>
      <c r="AK51" s="117"/>
      <c r="AL51" s="118"/>
      <c r="AM51" s="118"/>
      <c r="AN51" s="185"/>
      <c r="AO51" s="185"/>
      <c r="AP51" s="185"/>
      <c r="AQ51" s="185"/>
      <c r="AR51" s="185"/>
      <c r="AS51" s="186"/>
      <c r="BM51" s="151"/>
      <c r="CQ51" s="151"/>
    </row>
    <row r="52" spans="1:95" ht="15.75" x14ac:dyDescent="0.25">
      <c r="A52" s="107">
        <v>41</v>
      </c>
      <c r="B52" s="108"/>
      <c r="C52" s="108"/>
      <c r="D52" s="109"/>
      <c r="E52" s="161"/>
      <c r="F52" s="43"/>
      <c r="G52" s="44"/>
      <c r="H52" s="45"/>
      <c r="I52" s="43"/>
      <c r="J52" s="44"/>
      <c r="K52" s="45"/>
      <c r="L52" s="43"/>
      <c r="M52" s="44"/>
      <c r="N52" s="90"/>
      <c r="O52" s="43"/>
      <c r="P52" s="85"/>
      <c r="Q52" s="45"/>
      <c r="R52" s="43"/>
      <c r="S52" s="85"/>
      <c r="T52" s="45"/>
      <c r="U52" s="43"/>
      <c r="V52" s="85"/>
      <c r="W52" s="45"/>
      <c r="X52" s="46"/>
      <c r="Y52" s="47"/>
      <c r="Z52" s="31"/>
      <c r="AA52" s="32" t="str">
        <f t="shared" si="7"/>
        <v/>
      </c>
      <c r="AB52" s="33" t="str">
        <f t="shared" si="0"/>
        <v/>
      </c>
      <c r="AC52" s="33" t="str">
        <f t="shared" si="1"/>
        <v/>
      </c>
      <c r="AD52" s="101" t="str">
        <f t="shared" si="2"/>
        <v/>
      </c>
      <c r="AE52" s="101" t="str">
        <f t="shared" si="3"/>
        <v/>
      </c>
      <c r="AF52" s="101" t="str">
        <f t="shared" si="4"/>
        <v/>
      </c>
      <c r="AG52" s="34" t="str">
        <f t="shared" si="5"/>
        <v/>
      </c>
      <c r="AH52" s="48" t="str">
        <f t="shared" si="6"/>
        <v/>
      </c>
      <c r="AI52" s="2"/>
      <c r="AJ52" s="14"/>
      <c r="AK52" s="119"/>
      <c r="AL52" s="120"/>
      <c r="AM52" s="120"/>
      <c r="AN52" s="187"/>
      <c r="AO52" s="187"/>
      <c r="AP52" s="187"/>
      <c r="AQ52" s="187"/>
      <c r="AR52" s="187"/>
      <c r="AS52" s="188"/>
      <c r="BM52" s="151"/>
      <c r="CQ52" s="151"/>
    </row>
    <row r="53" spans="1:95" ht="15.75" x14ac:dyDescent="0.25">
      <c r="A53" s="19">
        <v>42</v>
      </c>
      <c r="B53" s="36"/>
      <c r="C53" s="36"/>
      <c r="D53" s="37"/>
      <c r="E53" s="84"/>
      <c r="F53" s="35"/>
      <c r="G53" s="36"/>
      <c r="H53" s="37"/>
      <c r="I53" s="35"/>
      <c r="J53" s="36"/>
      <c r="K53" s="37"/>
      <c r="L53" s="35"/>
      <c r="M53" s="36"/>
      <c r="N53" s="89"/>
      <c r="O53" s="35"/>
      <c r="P53" s="84"/>
      <c r="Q53" s="37"/>
      <c r="R53" s="35"/>
      <c r="S53" s="84"/>
      <c r="T53" s="37"/>
      <c r="U53" s="35"/>
      <c r="V53" s="84"/>
      <c r="W53" s="37"/>
      <c r="X53" s="38"/>
      <c r="Y53" s="39"/>
      <c r="Z53" s="31"/>
      <c r="AA53" s="40" t="str">
        <f t="shared" si="7"/>
        <v/>
      </c>
      <c r="AB53" s="41" t="str">
        <f t="shared" si="0"/>
        <v/>
      </c>
      <c r="AC53" s="41" t="str">
        <f t="shared" si="1"/>
        <v/>
      </c>
      <c r="AD53" s="102" t="str">
        <f t="shared" si="2"/>
        <v/>
      </c>
      <c r="AE53" s="102" t="str">
        <f t="shared" si="3"/>
        <v/>
      </c>
      <c r="AF53" s="102" t="str">
        <f t="shared" si="4"/>
        <v/>
      </c>
      <c r="AG53" s="42" t="str">
        <f t="shared" si="5"/>
        <v/>
      </c>
      <c r="AH53" s="48" t="str">
        <f t="shared" si="6"/>
        <v/>
      </c>
      <c r="AI53" s="2"/>
      <c r="AJ53" s="14"/>
      <c r="AK53" s="117"/>
      <c r="AL53" s="118"/>
      <c r="AM53" s="118"/>
      <c r="AN53" s="185"/>
      <c r="AO53" s="185"/>
      <c r="AP53" s="185"/>
      <c r="AQ53" s="185"/>
      <c r="AR53" s="185"/>
      <c r="AS53" s="186"/>
      <c r="BM53" s="151"/>
      <c r="CQ53" s="151"/>
    </row>
    <row r="54" spans="1:95" ht="15.75" x14ac:dyDescent="0.25">
      <c r="A54" s="107">
        <v>43</v>
      </c>
      <c r="B54" s="108"/>
      <c r="C54" s="108"/>
      <c r="D54" s="109"/>
      <c r="E54" s="161"/>
      <c r="F54" s="43"/>
      <c r="G54" s="44"/>
      <c r="H54" s="45"/>
      <c r="I54" s="43"/>
      <c r="J54" s="44"/>
      <c r="K54" s="45"/>
      <c r="L54" s="43"/>
      <c r="M54" s="44"/>
      <c r="N54" s="90"/>
      <c r="O54" s="43"/>
      <c r="P54" s="85"/>
      <c r="Q54" s="45"/>
      <c r="R54" s="43"/>
      <c r="S54" s="85"/>
      <c r="T54" s="45"/>
      <c r="U54" s="43"/>
      <c r="V54" s="85"/>
      <c r="W54" s="45"/>
      <c r="X54" s="46"/>
      <c r="Y54" s="47"/>
      <c r="Z54" s="31"/>
      <c r="AA54" s="32" t="str">
        <f t="shared" si="7"/>
        <v/>
      </c>
      <c r="AB54" s="33" t="str">
        <f t="shared" si="0"/>
        <v/>
      </c>
      <c r="AC54" s="33" t="str">
        <f t="shared" si="1"/>
        <v/>
      </c>
      <c r="AD54" s="101" t="str">
        <f t="shared" si="2"/>
        <v/>
      </c>
      <c r="AE54" s="101" t="str">
        <f t="shared" si="3"/>
        <v/>
      </c>
      <c r="AF54" s="101" t="str">
        <f t="shared" si="4"/>
        <v/>
      </c>
      <c r="AG54" s="34" t="str">
        <f t="shared" si="5"/>
        <v/>
      </c>
      <c r="AH54" s="48" t="str">
        <f t="shared" si="6"/>
        <v/>
      </c>
      <c r="AI54" s="2"/>
      <c r="AJ54" s="14"/>
      <c r="AK54" s="119"/>
      <c r="AL54" s="120"/>
      <c r="AM54" s="120"/>
      <c r="AN54" s="187"/>
      <c r="AO54" s="187"/>
      <c r="AP54" s="187"/>
      <c r="AQ54" s="187"/>
      <c r="AR54" s="187"/>
      <c r="AS54" s="188"/>
      <c r="BM54" s="151"/>
      <c r="CQ54" s="151"/>
    </row>
    <row r="55" spans="1:95" ht="15.75" x14ac:dyDescent="0.25">
      <c r="A55" s="19">
        <v>44</v>
      </c>
      <c r="B55" s="36"/>
      <c r="C55" s="36"/>
      <c r="D55" s="37"/>
      <c r="E55" s="84"/>
      <c r="F55" s="35"/>
      <c r="G55" s="36"/>
      <c r="H55" s="37"/>
      <c r="I55" s="35"/>
      <c r="J55" s="36"/>
      <c r="K55" s="37"/>
      <c r="L55" s="35"/>
      <c r="M55" s="36"/>
      <c r="N55" s="89"/>
      <c r="O55" s="35"/>
      <c r="P55" s="84"/>
      <c r="Q55" s="37"/>
      <c r="R55" s="35"/>
      <c r="S55" s="84"/>
      <c r="T55" s="37"/>
      <c r="U55" s="35"/>
      <c r="V55" s="84"/>
      <c r="W55" s="37"/>
      <c r="X55" s="38"/>
      <c r="Y55" s="39"/>
      <c r="Z55" s="31"/>
      <c r="AA55" s="40" t="str">
        <f t="shared" si="7"/>
        <v/>
      </c>
      <c r="AB55" s="41" t="str">
        <f t="shared" si="0"/>
        <v/>
      </c>
      <c r="AC55" s="41" t="str">
        <f t="shared" si="1"/>
        <v/>
      </c>
      <c r="AD55" s="102" t="str">
        <f t="shared" si="2"/>
        <v/>
      </c>
      <c r="AE55" s="102" t="str">
        <f t="shared" si="3"/>
        <v/>
      </c>
      <c r="AF55" s="102" t="str">
        <f t="shared" si="4"/>
        <v/>
      </c>
      <c r="AG55" s="42" t="str">
        <f t="shared" si="5"/>
        <v/>
      </c>
      <c r="AH55" s="48" t="str">
        <f t="shared" si="6"/>
        <v/>
      </c>
      <c r="AI55" s="2"/>
      <c r="AJ55" s="14"/>
      <c r="AK55" s="121"/>
      <c r="AL55" s="118"/>
      <c r="AM55" s="118"/>
      <c r="AN55" s="185"/>
      <c r="AO55" s="185"/>
      <c r="AP55" s="185"/>
      <c r="AQ55" s="185"/>
      <c r="AR55" s="185"/>
      <c r="AS55" s="186"/>
      <c r="BM55" s="151"/>
      <c r="CQ55" s="151"/>
    </row>
    <row r="56" spans="1:95" ht="15.75" x14ac:dyDescent="0.25">
      <c r="A56" s="107">
        <v>45</v>
      </c>
      <c r="B56" s="108"/>
      <c r="C56" s="108"/>
      <c r="D56" s="109"/>
      <c r="E56" s="161"/>
      <c r="F56" s="43"/>
      <c r="G56" s="44"/>
      <c r="H56" s="45"/>
      <c r="I56" s="43"/>
      <c r="J56" s="44"/>
      <c r="K56" s="45"/>
      <c r="L56" s="43"/>
      <c r="M56" s="44"/>
      <c r="N56" s="90"/>
      <c r="O56" s="43"/>
      <c r="P56" s="85"/>
      <c r="Q56" s="45"/>
      <c r="R56" s="43"/>
      <c r="S56" s="85"/>
      <c r="T56" s="45"/>
      <c r="U56" s="43"/>
      <c r="V56" s="85"/>
      <c r="W56" s="45"/>
      <c r="X56" s="46"/>
      <c r="Y56" s="47"/>
      <c r="Z56" s="31"/>
      <c r="AA56" s="32" t="str">
        <f t="shared" si="7"/>
        <v/>
      </c>
      <c r="AB56" s="33" t="str">
        <f t="shared" si="0"/>
        <v/>
      </c>
      <c r="AC56" s="33" t="str">
        <f t="shared" si="1"/>
        <v/>
      </c>
      <c r="AD56" s="101" t="str">
        <f t="shared" si="2"/>
        <v/>
      </c>
      <c r="AE56" s="101" t="str">
        <f t="shared" si="3"/>
        <v/>
      </c>
      <c r="AF56" s="101" t="str">
        <f t="shared" si="4"/>
        <v/>
      </c>
      <c r="AG56" s="34" t="str">
        <f t="shared" si="5"/>
        <v/>
      </c>
      <c r="AH56" s="48" t="str">
        <f t="shared" si="6"/>
        <v/>
      </c>
      <c r="AI56" s="2"/>
      <c r="AJ56" s="14"/>
      <c r="AK56" s="119"/>
      <c r="AL56" s="120"/>
      <c r="AM56" s="120"/>
      <c r="AN56" s="187"/>
      <c r="AO56" s="187"/>
      <c r="AP56" s="187"/>
      <c r="AQ56" s="187"/>
      <c r="AR56" s="187"/>
      <c r="AS56" s="188"/>
      <c r="BM56" s="151"/>
      <c r="CQ56" s="151"/>
    </row>
    <row r="57" spans="1:95" ht="15.75" x14ac:dyDescent="0.25">
      <c r="A57" s="19">
        <v>46</v>
      </c>
      <c r="B57" s="36"/>
      <c r="C57" s="36"/>
      <c r="D57" s="37"/>
      <c r="E57" s="84"/>
      <c r="F57" s="35"/>
      <c r="G57" s="36"/>
      <c r="H57" s="37"/>
      <c r="I57" s="35"/>
      <c r="J57" s="36"/>
      <c r="K57" s="37"/>
      <c r="L57" s="35"/>
      <c r="M57" s="36"/>
      <c r="N57" s="89"/>
      <c r="O57" s="35"/>
      <c r="P57" s="84"/>
      <c r="Q57" s="37"/>
      <c r="R57" s="35"/>
      <c r="S57" s="84"/>
      <c r="T57" s="37"/>
      <c r="U57" s="35"/>
      <c r="V57" s="84"/>
      <c r="W57" s="37"/>
      <c r="X57" s="38"/>
      <c r="Y57" s="39"/>
      <c r="Z57" s="31"/>
      <c r="AA57" s="40" t="str">
        <f t="shared" si="7"/>
        <v/>
      </c>
      <c r="AB57" s="41" t="str">
        <f t="shared" si="0"/>
        <v/>
      </c>
      <c r="AC57" s="41" t="str">
        <f t="shared" si="1"/>
        <v/>
      </c>
      <c r="AD57" s="102" t="str">
        <f t="shared" si="2"/>
        <v/>
      </c>
      <c r="AE57" s="102" t="str">
        <f t="shared" si="3"/>
        <v/>
      </c>
      <c r="AF57" s="102" t="str">
        <f t="shared" si="4"/>
        <v/>
      </c>
      <c r="AG57" s="42" t="str">
        <f t="shared" si="5"/>
        <v/>
      </c>
      <c r="AH57" s="48" t="str">
        <f t="shared" si="6"/>
        <v/>
      </c>
      <c r="AI57" s="2"/>
      <c r="AJ57" s="14"/>
      <c r="AK57" s="117"/>
      <c r="AL57" s="118"/>
      <c r="AM57" s="118"/>
      <c r="AN57" s="185"/>
      <c r="AO57" s="185"/>
      <c r="AP57" s="185"/>
      <c r="AQ57" s="185"/>
      <c r="AR57" s="185"/>
      <c r="AS57" s="186"/>
      <c r="BM57" s="151"/>
      <c r="CQ57" s="151"/>
    </row>
    <row r="58" spans="1:95" ht="15.75" x14ac:dyDescent="0.25">
      <c r="A58" s="107">
        <v>47</v>
      </c>
      <c r="B58" s="108"/>
      <c r="C58" s="108"/>
      <c r="D58" s="109"/>
      <c r="E58" s="161"/>
      <c r="F58" s="43"/>
      <c r="G58" s="44"/>
      <c r="H58" s="45"/>
      <c r="I58" s="43"/>
      <c r="J58" s="44"/>
      <c r="K58" s="45"/>
      <c r="L58" s="43"/>
      <c r="M58" s="44"/>
      <c r="N58" s="90"/>
      <c r="O58" s="43"/>
      <c r="P58" s="85"/>
      <c r="Q58" s="45"/>
      <c r="R58" s="43"/>
      <c r="S58" s="85"/>
      <c r="T58" s="45"/>
      <c r="U58" s="43"/>
      <c r="V58" s="85"/>
      <c r="W58" s="45"/>
      <c r="X58" s="46"/>
      <c r="Y58" s="47"/>
      <c r="Z58" s="31"/>
      <c r="AA58" s="32" t="str">
        <f t="shared" si="7"/>
        <v/>
      </c>
      <c r="AB58" s="33" t="str">
        <f t="shared" si="0"/>
        <v/>
      </c>
      <c r="AC58" s="33" t="str">
        <f t="shared" si="1"/>
        <v/>
      </c>
      <c r="AD58" s="101" t="str">
        <f t="shared" si="2"/>
        <v/>
      </c>
      <c r="AE58" s="101" t="str">
        <f t="shared" si="3"/>
        <v/>
      </c>
      <c r="AF58" s="101" t="str">
        <f t="shared" si="4"/>
        <v/>
      </c>
      <c r="AG58" s="34" t="str">
        <f t="shared" si="5"/>
        <v/>
      </c>
      <c r="AH58" s="48" t="str">
        <f t="shared" si="6"/>
        <v/>
      </c>
      <c r="AI58" s="2"/>
      <c r="AJ58" s="14"/>
      <c r="AK58" s="119"/>
      <c r="AL58" s="120"/>
      <c r="AM58" s="120"/>
      <c r="AN58" s="187"/>
      <c r="AO58" s="187"/>
      <c r="AP58" s="187"/>
      <c r="AQ58" s="187"/>
      <c r="AR58" s="187"/>
      <c r="AS58" s="188"/>
      <c r="BM58" s="151"/>
      <c r="CQ58" s="151"/>
    </row>
    <row r="59" spans="1:95" ht="15.75" x14ac:dyDescent="0.25">
      <c r="A59" s="19">
        <v>48</v>
      </c>
      <c r="B59" s="36"/>
      <c r="C59" s="36"/>
      <c r="D59" s="37"/>
      <c r="E59" s="84"/>
      <c r="F59" s="35"/>
      <c r="G59" s="36"/>
      <c r="H59" s="37"/>
      <c r="I59" s="35"/>
      <c r="J59" s="36"/>
      <c r="K59" s="37"/>
      <c r="L59" s="35"/>
      <c r="M59" s="36"/>
      <c r="N59" s="89"/>
      <c r="O59" s="35"/>
      <c r="P59" s="84"/>
      <c r="Q59" s="37"/>
      <c r="R59" s="35"/>
      <c r="S59" s="84"/>
      <c r="T59" s="37"/>
      <c r="U59" s="35"/>
      <c r="V59" s="84"/>
      <c r="W59" s="37"/>
      <c r="X59" s="38"/>
      <c r="Y59" s="39"/>
      <c r="Z59" s="31"/>
      <c r="AA59" s="40" t="str">
        <f t="shared" si="7"/>
        <v/>
      </c>
      <c r="AB59" s="41" t="str">
        <f t="shared" si="0"/>
        <v/>
      </c>
      <c r="AC59" s="41" t="str">
        <f t="shared" si="1"/>
        <v/>
      </c>
      <c r="AD59" s="102" t="str">
        <f t="shared" si="2"/>
        <v/>
      </c>
      <c r="AE59" s="102" t="str">
        <f t="shared" si="3"/>
        <v/>
      </c>
      <c r="AF59" s="102" t="str">
        <f t="shared" si="4"/>
        <v/>
      </c>
      <c r="AG59" s="42" t="str">
        <f t="shared" si="5"/>
        <v/>
      </c>
      <c r="AH59" s="48" t="str">
        <f t="shared" si="6"/>
        <v/>
      </c>
      <c r="AI59" s="2"/>
      <c r="AJ59" s="14"/>
      <c r="AK59" s="117"/>
      <c r="AL59" s="118"/>
      <c r="AM59" s="118"/>
      <c r="AN59" s="185"/>
      <c r="AO59" s="185"/>
      <c r="AP59" s="185"/>
      <c r="AQ59" s="185"/>
      <c r="AR59" s="185"/>
      <c r="AS59" s="186"/>
      <c r="BM59" s="151"/>
      <c r="CQ59" s="151"/>
    </row>
    <row r="60" spans="1:95" ht="15.75" x14ac:dyDescent="0.25">
      <c r="A60" s="107">
        <v>49</v>
      </c>
      <c r="B60" s="108"/>
      <c r="C60" s="108"/>
      <c r="D60" s="109"/>
      <c r="E60" s="161"/>
      <c r="F60" s="43"/>
      <c r="G60" s="44"/>
      <c r="H60" s="45"/>
      <c r="I60" s="43"/>
      <c r="J60" s="44"/>
      <c r="K60" s="45"/>
      <c r="L60" s="43"/>
      <c r="M60" s="44"/>
      <c r="N60" s="90"/>
      <c r="O60" s="43"/>
      <c r="P60" s="85"/>
      <c r="Q60" s="45"/>
      <c r="R60" s="43"/>
      <c r="S60" s="85"/>
      <c r="T60" s="45"/>
      <c r="U60" s="43"/>
      <c r="V60" s="85"/>
      <c r="W60" s="45"/>
      <c r="X60" s="46"/>
      <c r="Y60" s="47"/>
      <c r="Z60" s="31"/>
      <c r="AA60" s="32" t="str">
        <f t="shared" si="7"/>
        <v/>
      </c>
      <c r="AB60" s="33" t="str">
        <f t="shared" si="0"/>
        <v/>
      </c>
      <c r="AC60" s="33" t="str">
        <f t="shared" si="1"/>
        <v/>
      </c>
      <c r="AD60" s="101" t="str">
        <f t="shared" si="2"/>
        <v/>
      </c>
      <c r="AE60" s="101" t="str">
        <f t="shared" si="3"/>
        <v/>
      </c>
      <c r="AF60" s="101" t="str">
        <f t="shared" si="4"/>
        <v/>
      </c>
      <c r="AG60" s="34" t="str">
        <f t="shared" si="5"/>
        <v/>
      </c>
      <c r="AH60" s="48" t="str">
        <f t="shared" si="6"/>
        <v/>
      </c>
      <c r="AI60" s="2"/>
      <c r="AJ60" s="14"/>
      <c r="AK60" s="119"/>
      <c r="AL60" s="120"/>
      <c r="AM60" s="120"/>
      <c r="AN60" s="187"/>
      <c r="AO60" s="187"/>
      <c r="AP60" s="187"/>
      <c r="AQ60" s="187"/>
      <c r="AR60" s="187"/>
      <c r="AS60" s="188"/>
      <c r="BM60" s="151"/>
      <c r="CQ60" s="151"/>
    </row>
    <row r="61" spans="1:95" ht="15.75" x14ac:dyDescent="0.25">
      <c r="A61" s="19">
        <v>50</v>
      </c>
      <c r="B61" s="36"/>
      <c r="C61" s="36"/>
      <c r="D61" s="37"/>
      <c r="E61" s="84"/>
      <c r="F61" s="35"/>
      <c r="G61" s="36"/>
      <c r="H61" s="37"/>
      <c r="I61" s="35"/>
      <c r="J61" s="36"/>
      <c r="K61" s="37"/>
      <c r="L61" s="35"/>
      <c r="M61" s="36"/>
      <c r="N61" s="89"/>
      <c r="O61" s="35"/>
      <c r="P61" s="84"/>
      <c r="Q61" s="37"/>
      <c r="R61" s="35"/>
      <c r="S61" s="84"/>
      <c r="T61" s="37"/>
      <c r="U61" s="35"/>
      <c r="V61" s="84"/>
      <c r="W61" s="37"/>
      <c r="X61" s="38"/>
      <c r="Y61" s="39"/>
      <c r="Z61" s="31"/>
      <c r="AA61" s="40" t="str">
        <f t="shared" si="7"/>
        <v/>
      </c>
      <c r="AB61" s="41" t="str">
        <f t="shared" si="0"/>
        <v/>
      </c>
      <c r="AC61" s="41" t="str">
        <f t="shared" si="1"/>
        <v/>
      </c>
      <c r="AD61" s="102" t="str">
        <f t="shared" si="2"/>
        <v/>
      </c>
      <c r="AE61" s="102" t="str">
        <f t="shared" si="3"/>
        <v/>
      </c>
      <c r="AF61" s="102" t="str">
        <f t="shared" si="4"/>
        <v/>
      </c>
      <c r="AG61" s="42" t="str">
        <f t="shared" si="5"/>
        <v/>
      </c>
      <c r="AH61" s="48" t="str">
        <f t="shared" si="6"/>
        <v/>
      </c>
      <c r="AI61" s="2"/>
      <c r="AJ61" s="14"/>
      <c r="AK61" s="117"/>
      <c r="AL61" s="118"/>
      <c r="AM61" s="118"/>
      <c r="AN61" s="185"/>
      <c r="AO61" s="185"/>
      <c r="AP61" s="185"/>
      <c r="AQ61" s="185"/>
      <c r="AR61" s="185"/>
      <c r="AS61" s="186"/>
      <c r="BM61" s="151"/>
      <c r="CQ61" s="151"/>
    </row>
    <row r="62" spans="1:95" ht="15.75" x14ac:dyDescent="0.25">
      <c r="A62" s="107">
        <v>51</v>
      </c>
      <c r="B62" s="108"/>
      <c r="C62" s="108"/>
      <c r="D62" s="109"/>
      <c r="E62" s="161"/>
      <c r="F62" s="43"/>
      <c r="G62" s="44"/>
      <c r="H62" s="45"/>
      <c r="I62" s="43"/>
      <c r="J62" s="44"/>
      <c r="K62" s="45"/>
      <c r="L62" s="43"/>
      <c r="M62" s="44"/>
      <c r="N62" s="90"/>
      <c r="O62" s="43"/>
      <c r="P62" s="85"/>
      <c r="Q62" s="45"/>
      <c r="R62" s="43"/>
      <c r="S62" s="85"/>
      <c r="T62" s="45"/>
      <c r="U62" s="43"/>
      <c r="V62" s="85"/>
      <c r="W62" s="45"/>
      <c r="X62" s="46"/>
      <c r="Y62" s="47"/>
      <c r="Z62" s="31"/>
      <c r="AA62" s="32" t="str">
        <f t="shared" si="7"/>
        <v/>
      </c>
      <c r="AB62" s="33" t="str">
        <f t="shared" si="0"/>
        <v/>
      </c>
      <c r="AC62" s="33" t="str">
        <f t="shared" si="1"/>
        <v/>
      </c>
      <c r="AD62" s="101" t="str">
        <f t="shared" si="2"/>
        <v/>
      </c>
      <c r="AE62" s="101" t="str">
        <f t="shared" si="3"/>
        <v/>
      </c>
      <c r="AF62" s="101" t="str">
        <f t="shared" si="4"/>
        <v/>
      </c>
      <c r="AG62" s="34" t="str">
        <f t="shared" si="5"/>
        <v/>
      </c>
      <c r="AH62" s="48" t="str">
        <f t="shared" si="6"/>
        <v/>
      </c>
      <c r="AI62" s="2"/>
      <c r="AJ62" s="14"/>
      <c r="AK62" s="119"/>
      <c r="AL62" s="120"/>
      <c r="AM62" s="120"/>
      <c r="AN62" s="187"/>
      <c r="AO62" s="187"/>
      <c r="AP62" s="187"/>
      <c r="AQ62" s="187"/>
      <c r="AR62" s="187"/>
      <c r="AS62" s="188"/>
      <c r="BM62" s="151"/>
      <c r="CQ62" s="151"/>
    </row>
    <row r="63" spans="1:95" ht="15.75" x14ac:dyDescent="0.25">
      <c r="A63" s="19">
        <v>52</v>
      </c>
      <c r="B63" s="36"/>
      <c r="C63" s="36"/>
      <c r="D63" s="37"/>
      <c r="E63" s="84"/>
      <c r="F63" s="35"/>
      <c r="G63" s="36"/>
      <c r="H63" s="37"/>
      <c r="I63" s="35"/>
      <c r="J63" s="36"/>
      <c r="K63" s="37"/>
      <c r="L63" s="35"/>
      <c r="M63" s="36"/>
      <c r="N63" s="89"/>
      <c r="O63" s="35"/>
      <c r="P63" s="84"/>
      <c r="Q63" s="37"/>
      <c r="R63" s="35"/>
      <c r="S63" s="84"/>
      <c r="T63" s="37"/>
      <c r="U63" s="35"/>
      <c r="V63" s="84"/>
      <c r="W63" s="37"/>
      <c r="X63" s="38"/>
      <c r="Y63" s="39"/>
      <c r="Z63" s="31"/>
      <c r="AA63" s="40" t="str">
        <f t="shared" si="7"/>
        <v/>
      </c>
      <c r="AB63" s="41" t="str">
        <f t="shared" si="0"/>
        <v/>
      </c>
      <c r="AC63" s="41" t="str">
        <f t="shared" si="1"/>
        <v/>
      </c>
      <c r="AD63" s="102" t="str">
        <f t="shared" si="2"/>
        <v/>
      </c>
      <c r="AE63" s="102" t="str">
        <f t="shared" si="3"/>
        <v/>
      </c>
      <c r="AF63" s="102" t="str">
        <f t="shared" si="4"/>
        <v/>
      </c>
      <c r="AG63" s="49" t="str">
        <f t="shared" si="5"/>
        <v/>
      </c>
      <c r="AH63" s="48" t="str">
        <f t="shared" si="6"/>
        <v/>
      </c>
      <c r="AI63" s="2"/>
      <c r="AJ63" s="14"/>
      <c r="AK63" s="117"/>
      <c r="AL63" s="118"/>
      <c r="AM63" s="118"/>
      <c r="AN63" s="185"/>
      <c r="AO63" s="185"/>
      <c r="AP63" s="185"/>
      <c r="AQ63" s="185"/>
      <c r="AR63" s="185"/>
      <c r="AS63" s="186"/>
      <c r="BM63" s="151"/>
      <c r="CQ63" s="151"/>
    </row>
    <row r="64" spans="1:95" ht="16.5" thickBot="1" x14ac:dyDescent="0.3">
      <c r="A64" s="110">
        <v>53</v>
      </c>
      <c r="B64" s="111"/>
      <c r="C64" s="111"/>
      <c r="D64" s="112"/>
      <c r="E64" s="162"/>
      <c r="F64" s="50"/>
      <c r="G64" s="51"/>
      <c r="H64" s="52"/>
      <c r="I64" s="50"/>
      <c r="J64" s="51"/>
      <c r="K64" s="52"/>
      <c r="L64" s="50"/>
      <c r="M64" s="51"/>
      <c r="N64" s="91"/>
      <c r="O64" s="50"/>
      <c r="P64" s="86"/>
      <c r="Q64" s="52"/>
      <c r="R64" s="50"/>
      <c r="S64" s="86"/>
      <c r="T64" s="52"/>
      <c r="U64" s="50"/>
      <c r="V64" s="86"/>
      <c r="W64" s="52"/>
      <c r="X64" s="53"/>
      <c r="Y64" s="54"/>
      <c r="Z64" s="31"/>
      <c r="AA64" s="32" t="str">
        <f t="shared" si="7"/>
        <v/>
      </c>
      <c r="AB64" s="33" t="str">
        <f t="shared" si="0"/>
        <v/>
      </c>
      <c r="AC64" s="33" t="str">
        <f t="shared" si="1"/>
        <v/>
      </c>
      <c r="AD64" s="101" t="str">
        <f t="shared" si="2"/>
        <v/>
      </c>
      <c r="AE64" s="101" t="str">
        <f t="shared" si="3"/>
        <v/>
      </c>
      <c r="AF64" s="101" t="str">
        <f t="shared" si="4"/>
        <v/>
      </c>
      <c r="AG64" s="34" t="str">
        <f t="shared" si="5"/>
        <v/>
      </c>
      <c r="AH64" s="48" t="str">
        <f t="shared" si="6"/>
        <v/>
      </c>
      <c r="AI64" s="2"/>
      <c r="AJ64" s="14"/>
      <c r="AK64" s="130"/>
      <c r="AL64" s="131"/>
      <c r="AM64" s="131"/>
      <c r="AN64" s="189"/>
      <c r="AO64" s="189"/>
      <c r="AP64" s="189"/>
      <c r="AQ64" s="189"/>
      <c r="AR64" s="189"/>
      <c r="AS64" s="190"/>
      <c r="BM64" s="151"/>
      <c r="CQ64" s="151"/>
    </row>
  </sheetData>
  <mergeCells count="136">
    <mergeCell ref="D3:D7"/>
    <mergeCell ref="A1:D2"/>
    <mergeCell ref="A3:B3"/>
    <mergeCell ref="A4:B4"/>
    <mergeCell ref="A5:B5"/>
    <mergeCell ref="A6:B6"/>
    <mergeCell ref="A7:B7"/>
    <mergeCell ref="AA10:AH10"/>
    <mergeCell ref="AB2:AI3"/>
    <mergeCell ref="AB4:AI8"/>
    <mergeCell ref="F1:X1"/>
    <mergeCell ref="Y3:Z3"/>
    <mergeCell ref="Y5:Z5"/>
    <mergeCell ref="Y6:Z6"/>
    <mergeCell ref="F10:Y10"/>
    <mergeCell ref="Y8:Z8"/>
    <mergeCell ref="F4:X4"/>
    <mergeCell ref="F5:X5"/>
    <mergeCell ref="Y1:Z1"/>
    <mergeCell ref="Y2:Z2"/>
    <mergeCell ref="F6:X6"/>
    <mergeCell ref="Y7:Z7"/>
    <mergeCell ref="F2:X2"/>
    <mergeCell ref="F3:X3"/>
    <mergeCell ref="F7:X7"/>
    <mergeCell ref="AN13:AP13"/>
    <mergeCell ref="AQ13:AS13"/>
    <mergeCell ref="AN14:AP14"/>
    <mergeCell ref="AQ14:AS14"/>
    <mergeCell ref="AN15:AP15"/>
    <mergeCell ref="AQ15:AS15"/>
    <mergeCell ref="AK10:AM10"/>
    <mergeCell ref="AN10:AS10"/>
    <mergeCell ref="AN11:AP11"/>
    <mergeCell ref="AQ11:AS11"/>
    <mergeCell ref="AN12:AP12"/>
    <mergeCell ref="AQ12:AS12"/>
    <mergeCell ref="Y4:Z4"/>
    <mergeCell ref="AN19:AP19"/>
    <mergeCell ref="AQ19:AS19"/>
    <mergeCell ref="AN20:AP20"/>
    <mergeCell ref="AQ20:AS20"/>
    <mergeCell ref="AN21:AP21"/>
    <mergeCell ref="AQ21:AS21"/>
    <mergeCell ref="AN16:AP16"/>
    <mergeCell ref="AQ16:AS16"/>
    <mergeCell ref="AN17:AP17"/>
    <mergeCell ref="AQ17:AS17"/>
    <mergeCell ref="AN18:AP18"/>
    <mergeCell ref="AQ18:AS18"/>
    <mergeCell ref="AN25:AP25"/>
    <mergeCell ref="AQ25:AS25"/>
    <mergeCell ref="AN26:AP26"/>
    <mergeCell ref="AQ26:AS26"/>
    <mergeCell ref="AN27:AP27"/>
    <mergeCell ref="AQ27:AS27"/>
    <mergeCell ref="AN22:AP22"/>
    <mergeCell ref="AQ22:AS22"/>
    <mergeCell ref="AN23:AP23"/>
    <mergeCell ref="AQ23:AS23"/>
    <mergeCell ref="AN24:AP24"/>
    <mergeCell ref="AQ24:AS24"/>
    <mergeCell ref="AN31:AP31"/>
    <mergeCell ref="AQ31:AS31"/>
    <mergeCell ref="AN32:AP32"/>
    <mergeCell ref="AQ32:AS32"/>
    <mergeCell ref="AN33:AP33"/>
    <mergeCell ref="AQ33:AS33"/>
    <mergeCell ref="AN28:AP28"/>
    <mergeCell ref="AQ28:AS28"/>
    <mergeCell ref="AN29:AP29"/>
    <mergeCell ref="AQ29:AS29"/>
    <mergeCell ref="AN30:AP30"/>
    <mergeCell ref="AQ30:AS30"/>
    <mergeCell ref="AN37:AP37"/>
    <mergeCell ref="AQ37:AS37"/>
    <mergeCell ref="AN38:AP38"/>
    <mergeCell ref="AQ38:AS38"/>
    <mergeCell ref="AN39:AP39"/>
    <mergeCell ref="AQ39:AS39"/>
    <mergeCell ref="AN34:AP34"/>
    <mergeCell ref="AQ34:AS34"/>
    <mergeCell ref="AN35:AP35"/>
    <mergeCell ref="AQ35:AS35"/>
    <mergeCell ref="AN36:AP36"/>
    <mergeCell ref="AQ36:AS36"/>
    <mergeCell ref="AN43:AP43"/>
    <mergeCell ref="AQ43:AS43"/>
    <mergeCell ref="AN44:AP44"/>
    <mergeCell ref="AQ44:AS44"/>
    <mergeCell ref="AN45:AP45"/>
    <mergeCell ref="AQ45:AS45"/>
    <mergeCell ref="AN40:AP40"/>
    <mergeCell ref="AQ40:AS40"/>
    <mergeCell ref="AN41:AP41"/>
    <mergeCell ref="AQ41:AS41"/>
    <mergeCell ref="AN42:AP42"/>
    <mergeCell ref="AQ42:AS42"/>
    <mergeCell ref="AN54:AP54"/>
    <mergeCell ref="AQ54:AS54"/>
    <mergeCell ref="AN49:AP49"/>
    <mergeCell ref="AQ49:AS49"/>
    <mergeCell ref="AN50:AP50"/>
    <mergeCell ref="AQ50:AS50"/>
    <mergeCell ref="AN51:AP51"/>
    <mergeCell ref="AQ51:AS51"/>
    <mergeCell ref="AN46:AP46"/>
    <mergeCell ref="AQ46:AS46"/>
    <mergeCell ref="AN47:AP47"/>
    <mergeCell ref="AQ47:AS47"/>
    <mergeCell ref="AN48:AP48"/>
    <mergeCell ref="AQ48:AS48"/>
    <mergeCell ref="AN55:AP55"/>
    <mergeCell ref="AQ55:AS55"/>
    <mergeCell ref="AN56:AP56"/>
    <mergeCell ref="AQ56:AS56"/>
    <mergeCell ref="AN57:AP57"/>
    <mergeCell ref="AQ57:AS57"/>
    <mergeCell ref="AN52:AP52"/>
    <mergeCell ref="AQ52:AS52"/>
    <mergeCell ref="AN64:AP64"/>
    <mergeCell ref="AQ64:AS64"/>
    <mergeCell ref="AN61:AP61"/>
    <mergeCell ref="AQ61:AS61"/>
    <mergeCell ref="AN62:AP62"/>
    <mergeCell ref="AQ62:AS62"/>
    <mergeCell ref="AN63:AP63"/>
    <mergeCell ref="AQ63:AS63"/>
    <mergeCell ref="AN58:AP58"/>
    <mergeCell ref="AQ58:AS58"/>
    <mergeCell ref="AN59:AP59"/>
    <mergeCell ref="AQ59:AS59"/>
    <mergeCell ref="AN60:AP60"/>
    <mergeCell ref="AQ60:AS60"/>
    <mergeCell ref="AN53:AP53"/>
    <mergeCell ref="AQ53:AS53"/>
  </mergeCells>
  <conditionalFormatting sqref="AH12:AH64">
    <cfRule type="cellIs" dxfId="14" priority="11" operator="between">
      <formula>4</formula>
      <formula>5</formula>
    </cfRule>
    <cfRule type="cellIs" dxfId="13" priority="12" operator="between">
      <formula>3</formula>
      <formula>3.99</formula>
    </cfRule>
    <cfRule type="cellIs" dxfId="12" priority="13" operator="between">
      <formula>0.1</formula>
      <formula>2.99</formula>
    </cfRule>
  </conditionalFormatting>
  <dataValidations disablePrompts="1" count="1">
    <dataValidation type="list" allowBlank="1" showInputMessage="1" showErrorMessage="1" sqref="AQ41:AS41" xr:uid="{00000000-0002-0000-0000-000000000000}">
      <formula1>#REF!</formula1>
    </dataValidation>
  </dataValidations>
  <pageMargins left="0.7" right="0.7" top="0.75" bottom="0.75" header="0.3" footer="0.3"/>
  <pageSetup scale="45" orientation="landscape" r:id="rId1"/>
  <rowBreaks count="1" manualBreakCount="1">
    <brk id="9" max="100" man="1"/>
  </rowBreaks>
  <colBreaks count="1" manualBreakCount="1">
    <brk id="3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R65"/>
  <sheetViews>
    <sheetView view="pageBreakPreview" zoomScaleNormal="100" zoomScaleSheetLayoutView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K12" sqref="K12:W12"/>
    </sheetView>
  </sheetViews>
  <sheetFormatPr baseColWidth="10" defaultRowHeight="15" x14ac:dyDescent="0.25"/>
  <cols>
    <col min="1" max="1" width="8" customWidth="1"/>
    <col min="2" max="2" width="10.140625" customWidth="1"/>
    <col min="3" max="3" width="13.5703125" customWidth="1"/>
    <col min="4" max="4" width="46" customWidth="1"/>
    <col min="5" max="25" width="4.7109375" customWidth="1"/>
    <col min="26" max="26" width="5" customWidth="1"/>
    <col min="27" max="32" width="4.7109375" customWidth="1"/>
    <col min="33" max="33" width="11" customWidth="1"/>
    <col min="34" max="34" width="20.140625" customWidth="1"/>
    <col min="35" max="35" width="4.85546875" customWidth="1"/>
  </cols>
  <sheetData>
    <row r="1" spans="1:44" ht="15.75" customHeight="1" x14ac:dyDescent="0.25">
      <c r="A1" s="239" t="s">
        <v>40</v>
      </c>
      <c r="B1" s="240"/>
      <c r="C1" s="240"/>
      <c r="D1" s="241"/>
      <c r="E1" s="259" t="s">
        <v>60</v>
      </c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1">
        <v>0</v>
      </c>
      <c r="Y1" s="262"/>
    </row>
    <row r="2" spans="1:44" ht="16.5" customHeight="1" thickBot="1" x14ac:dyDescent="0.3">
      <c r="A2" s="242"/>
      <c r="B2" s="243"/>
      <c r="C2" s="243"/>
      <c r="D2" s="244"/>
      <c r="E2" s="249" t="s">
        <v>61</v>
      </c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1">
        <v>0</v>
      </c>
      <c r="Y2" s="252"/>
    </row>
    <row r="3" spans="1:44" ht="15.75" customHeight="1" x14ac:dyDescent="0.25">
      <c r="A3" s="270">
        <v>0.24</v>
      </c>
      <c r="B3" s="271"/>
      <c r="C3" s="271"/>
      <c r="D3" s="272"/>
      <c r="E3" s="263" t="s">
        <v>62</v>
      </c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7">
        <v>0.6</v>
      </c>
      <c r="Y3" s="258"/>
      <c r="Z3" s="25"/>
      <c r="AA3" s="25"/>
    </row>
    <row r="4" spans="1:44" ht="15.75" customHeight="1" x14ac:dyDescent="0.25">
      <c r="A4" s="273"/>
      <c r="B4" s="274"/>
      <c r="C4" s="274"/>
      <c r="D4" s="275"/>
      <c r="E4" s="266" t="s">
        <v>71</v>
      </c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57">
        <v>0.1</v>
      </c>
      <c r="Y4" s="258"/>
      <c r="Z4" s="25"/>
      <c r="AA4" s="25"/>
    </row>
    <row r="5" spans="1:44" ht="15.75" customHeight="1" x14ac:dyDescent="0.25">
      <c r="A5" s="273"/>
      <c r="B5" s="274"/>
      <c r="C5" s="274"/>
      <c r="D5" s="275"/>
      <c r="E5" s="263" t="s">
        <v>63</v>
      </c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7">
        <v>0</v>
      </c>
      <c r="Y5" s="258"/>
      <c r="Z5" s="25"/>
      <c r="AA5" s="25"/>
    </row>
    <row r="6" spans="1:44" ht="15.75" customHeight="1" x14ac:dyDescent="0.25">
      <c r="A6" s="273"/>
      <c r="B6" s="274"/>
      <c r="C6" s="274"/>
      <c r="D6" s="275"/>
      <c r="E6" s="264" t="s">
        <v>75</v>
      </c>
      <c r="F6" s="264"/>
      <c r="G6" s="264"/>
      <c r="H6" s="264"/>
      <c r="I6" s="264"/>
      <c r="J6" s="264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5"/>
      <c r="X6" s="257">
        <v>0</v>
      </c>
      <c r="Y6" s="258"/>
      <c r="Z6" s="25"/>
      <c r="AA6" s="25"/>
    </row>
    <row r="7" spans="1:44" ht="16.5" customHeight="1" thickBot="1" x14ac:dyDescent="0.3">
      <c r="A7" s="273"/>
      <c r="B7" s="274"/>
      <c r="C7" s="274"/>
      <c r="D7" s="275"/>
      <c r="E7" s="253" t="s">
        <v>64</v>
      </c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68">
        <v>0.3</v>
      </c>
      <c r="Y7" s="269"/>
      <c r="Z7" s="25"/>
      <c r="AA7" s="25"/>
      <c r="AG7" s="156">
        <f>X1+X2+X3+X4+X5+X6+X7</f>
        <v>1</v>
      </c>
    </row>
    <row r="8" spans="1:44" ht="15.75" customHeight="1" thickBot="1" x14ac:dyDescent="1.25">
      <c r="A8" s="144"/>
      <c r="B8" s="145"/>
      <c r="C8" s="145"/>
      <c r="D8" s="146"/>
      <c r="X8" s="255">
        <f>SUM(X1:Y7)</f>
        <v>1</v>
      </c>
      <c r="Y8" s="256"/>
    </row>
    <row r="9" spans="1:44" ht="15.75" customHeight="1" thickBot="1" x14ac:dyDescent="1.25">
      <c r="A9" s="147"/>
      <c r="B9" s="148"/>
      <c r="C9" s="148"/>
      <c r="D9" s="149"/>
    </row>
    <row r="10" spans="1:44" ht="16.5" thickBot="1" x14ac:dyDescent="0.3">
      <c r="E10" s="221" t="s">
        <v>22</v>
      </c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4"/>
      <c r="Z10" s="248" t="s">
        <v>23</v>
      </c>
      <c r="AA10" s="248"/>
      <c r="AB10" s="248"/>
      <c r="AC10" s="248"/>
      <c r="AD10" s="248"/>
      <c r="AE10" s="248"/>
      <c r="AF10" s="248"/>
      <c r="AG10" s="248"/>
      <c r="AH10" s="2"/>
      <c r="AI10" s="78"/>
      <c r="AJ10" s="196" t="s">
        <v>30</v>
      </c>
      <c r="AK10" s="196"/>
      <c r="AL10" s="196"/>
      <c r="AM10" s="245"/>
      <c r="AN10" s="246"/>
      <c r="AO10" s="246"/>
      <c r="AP10" s="246"/>
      <c r="AQ10" s="246"/>
      <c r="AR10" s="246"/>
    </row>
    <row r="11" spans="1:44" ht="16.5" thickBot="1" x14ac:dyDescent="0.3">
      <c r="A11" s="4" t="s">
        <v>17</v>
      </c>
      <c r="B11" s="5" t="s">
        <v>36</v>
      </c>
      <c r="C11" s="5" t="s">
        <v>18</v>
      </c>
      <c r="D11" s="6" t="s">
        <v>21</v>
      </c>
      <c r="E11" s="4" t="s">
        <v>3</v>
      </c>
      <c r="F11" s="7" t="s">
        <v>4</v>
      </c>
      <c r="G11" s="6" t="s">
        <v>5</v>
      </c>
      <c r="H11" s="8" t="s">
        <v>0</v>
      </c>
      <c r="I11" s="5" t="s">
        <v>1</v>
      </c>
      <c r="J11" s="9" t="s">
        <v>2</v>
      </c>
      <c r="K11" s="4" t="s">
        <v>6</v>
      </c>
      <c r="L11" s="7" t="s">
        <v>8</v>
      </c>
      <c r="M11" s="87" t="s">
        <v>9</v>
      </c>
      <c r="N11" s="92" t="s">
        <v>54</v>
      </c>
      <c r="O11" s="96" t="s">
        <v>55</v>
      </c>
      <c r="P11" s="95" t="s">
        <v>65</v>
      </c>
      <c r="Q11" s="97" t="s">
        <v>58</v>
      </c>
      <c r="R11" s="93" t="s">
        <v>59</v>
      </c>
      <c r="S11" s="94" t="s">
        <v>66</v>
      </c>
      <c r="T11" s="92" t="s">
        <v>56</v>
      </c>
      <c r="U11" s="96" t="s">
        <v>57</v>
      </c>
      <c r="V11" s="95" t="s">
        <v>67</v>
      </c>
      <c r="W11" s="67" t="s">
        <v>10</v>
      </c>
      <c r="X11" s="66" t="s">
        <v>11</v>
      </c>
      <c r="Y11" s="15"/>
      <c r="Z11" s="66" t="s">
        <v>12</v>
      </c>
      <c r="AA11" s="66" t="s">
        <v>13</v>
      </c>
      <c r="AB11" s="66" t="s">
        <v>7</v>
      </c>
      <c r="AC11" s="125" t="s">
        <v>70</v>
      </c>
      <c r="AD11" s="125" t="s">
        <v>68</v>
      </c>
      <c r="AE11" s="125" t="s">
        <v>69</v>
      </c>
      <c r="AF11" s="66" t="s">
        <v>29</v>
      </c>
      <c r="AG11" s="134" t="s">
        <v>19</v>
      </c>
      <c r="AH11" s="135" t="s">
        <v>77</v>
      </c>
      <c r="AI11" s="78"/>
      <c r="AJ11" s="77" t="s">
        <v>31</v>
      </c>
      <c r="AK11" s="77" t="s">
        <v>32</v>
      </c>
      <c r="AL11" s="77" t="s">
        <v>33</v>
      </c>
      <c r="AM11" s="247" t="s">
        <v>35</v>
      </c>
      <c r="AN11" s="247"/>
      <c r="AO11" s="247"/>
      <c r="AP11" s="247" t="s">
        <v>34</v>
      </c>
      <c r="AQ11" s="247"/>
      <c r="AR11" s="247"/>
    </row>
    <row r="12" spans="1:44" x14ac:dyDescent="0.25">
      <c r="A12" s="105">
        <v>1</v>
      </c>
      <c r="B12" s="106">
        <f>+'CORTE I '!B12</f>
        <v>0</v>
      </c>
      <c r="C12" s="106">
        <f>+'CORTE I '!C12</f>
        <v>0</v>
      </c>
      <c r="D12" s="152">
        <f>+'CORTE I '!D12</f>
        <v>0</v>
      </c>
      <c r="E12" s="26"/>
      <c r="F12" s="27"/>
      <c r="G12" s="28"/>
      <c r="H12" s="26"/>
      <c r="I12" s="27"/>
      <c r="J12" s="28"/>
      <c r="K12" s="26"/>
      <c r="L12" s="27"/>
      <c r="M12" s="88"/>
      <c r="N12" s="26"/>
      <c r="O12" s="83"/>
      <c r="P12" s="28"/>
      <c r="Q12" s="26"/>
      <c r="R12" s="83"/>
      <c r="S12" s="28"/>
      <c r="T12" s="26"/>
      <c r="U12" s="83"/>
      <c r="V12" s="28"/>
      <c r="W12" s="58"/>
      <c r="X12" s="57"/>
      <c r="Y12" s="59"/>
      <c r="Z12" s="132" t="str">
        <f>IF(D12&gt;0,IF(ISERROR(AVERAGE(E12:G12)),0,AVERAGE(E12:G12)),"")</f>
        <v/>
      </c>
      <c r="AA12" s="132" t="str">
        <f>IF(D12&gt;0,IF(ISERROR(AVERAGE(H12:J12)),0,AVERAGE(H12:J12)),"")</f>
        <v/>
      </c>
      <c r="AB12" s="132" t="str">
        <f>IF(D12&gt;0,IF(ISERROR(AVERAGE(K12:M12)),0,AVERAGE(K12:M12)),"")</f>
        <v/>
      </c>
      <c r="AC12" s="132" t="str">
        <f>IF(D12&gt;0,IF(ISERROR(AVERAGE(N12:P12)),0,AVERAGE(N12:P12)),"")</f>
        <v/>
      </c>
      <c r="AD12" s="132" t="str">
        <f>IF(D12&gt;0,IF(ISERROR(AVERAGE(Q12:S12)),0,AVERAGE(Q12:S12)),"")</f>
        <v/>
      </c>
      <c r="AE12" s="132" t="str">
        <f>IF(D12&gt;0,IF(ISERROR(AVERAGE(T12:V12)),0,AVERAGE(T12:V12)),"")</f>
        <v/>
      </c>
      <c r="AF12" s="132" t="str">
        <f>IF(D12&gt;0,IF(ISERROR(AVERAGE(W12:X12)),0,AVERAGE(W12:X12)),"")</f>
        <v/>
      </c>
      <c r="AG12" s="124" t="str">
        <f>IF(D12&gt;0,Z12*$X$1+AA12*$X$2+AB12*$X$3+AC12*$X$4+AD12*$X$5+AE12*$X$6+AF12*$X$7,"")</f>
        <v/>
      </c>
      <c r="AH12" s="2"/>
      <c r="AI12" s="78"/>
      <c r="AJ12" s="73"/>
      <c r="AK12" s="73"/>
      <c r="AL12" s="73"/>
      <c r="AM12" s="230"/>
      <c r="AN12" s="231"/>
      <c r="AO12" s="232"/>
      <c r="AP12" s="230"/>
      <c r="AQ12" s="231"/>
      <c r="AR12" s="232"/>
    </row>
    <row r="13" spans="1:44" x14ac:dyDescent="0.25">
      <c r="A13" s="19">
        <v>2</v>
      </c>
      <c r="B13" s="36">
        <f>+'CORTE I '!B13</f>
        <v>0</v>
      </c>
      <c r="C13" s="36">
        <f>+'CORTE I '!C13</f>
        <v>0</v>
      </c>
      <c r="D13" s="153">
        <f>+'CORTE I '!D13</f>
        <v>0</v>
      </c>
      <c r="E13" s="35"/>
      <c r="F13" s="36"/>
      <c r="G13" s="37"/>
      <c r="H13" s="35"/>
      <c r="I13" s="36"/>
      <c r="J13" s="37"/>
      <c r="K13" s="35"/>
      <c r="L13" s="36"/>
      <c r="M13" s="89"/>
      <c r="N13" s="35"/>
      <c r="O13" s="84"/>
      <c r="P13" s="37"/>
      <c r="Q13" s="35"/>
      <c r="R13" s="84"/>
      <c r="S13" s="37"/>
      <c r="T13" s="35"/>
      <c r="U13" s="84"/>
      <c r="V13" s="37"/>
      <c r="W13" s="38"/>
      <c r="X13" s="37"/>
      <c r="Y13" s="59"/>
      <c r="Z13" s="35" t="str">
        <f t="shared" ref="Z13:Z64" si="0">IF(D13&gt;0,IF(ISERROR(AVERAGE(E13:G13)),0,AVERAGE(E13:G13)),"")</f>
        <v/>
      </c>
      <c r="AA13" s="36" t="str">
        <f t="shared" ref="AA13:AA64" si="1">IF(D13&gt;0,IF(ISERROR(AVERAGE(H13:J13)),0,AVERAGE(H13:J13)),"")</f>
        <v/>
      </c>
      <c r="AB13" s="36" t="str">
        <f t="shared" ref="AB13:AB64" si="2">IF(D13&gt;0,IF(ISERROR(AVERAGE(K13:M13)),0,AVERAGE(K13:M13)),"")</f>
        <v/>
      </c>
      <c r="AC13" s="102" t="str">
        <f t="shared" ref="AC13:AC64" si="3">IF(D13&gt;0,IF(ISERROR(AVERAGE(N13:P13)),0,AVERAGE(N13:P13)),"")</f>
        <v/>
      </c>
      <c r="AD13" s="102" t="str">
        <f t="shared" ref="AD13:AD64" si="4">IF(D13&gt;0,IF(ISERROR(AVERAGE(Q13:S13)),0,AVERAGE(Q13:S13)),"")</f>
        <v/>
      </c>
      <c r="AE13" s="102" t="str">
        <f t="shared" ref="AE13:AE64" si="5">IF(D13&gt;0,IF(ISERROR(AVERAGE(T13:V13)),0,AVERAGE(T13:V13)),"")</f>
        <v/>
      </c>
      <c r="AF13" s="37" t="str">
        <f t="shared" ref="AF13:AF64" si="6">IF(D13&gt;0,IF(ISERROR(AVERAGE(W13:X13)),0,AVERAGE(W13:X13)),"")</f>
        <v/>
      </c>
      <c r="AG13" s="124" t="str">
        <f t="shared" ref="AG13:AG64" si="7">IF(D13&gt;0,Z13*$X$1+AA13*$X$2+AB13*$X$3+AC13*$X$4+AD13*$X$5+AE13*$X$6+AF13*$X$7,"")</f>
        <v/>
      </c>
      <c r="AH13" s="2"/>
      <c r="AI13" s="78"/>
      <c r="AJ13" s="72"/>
      <c r="AK13" s="72"/>
      <c r="AL13" s="72"/>
      <c r="AM13" s="236"/>
      <c r="AN13" s="237"/>
      <c r="AO13" s="238"/>
      <c r="AP13" s="236"/>
      <c r="AQ13" s="237"/>
      <c r="AR13" s="238"/>
    </row>
    <row r="14" spans="1:44" x14ac:dyDescent="0.25">
      <c r="A14" s="107">
        <v>3</v>
      </c>
      <c r="B14" s="108">
        <f>+'CORTE I '!B14</f>
        <v>0</v>
      </c>
      <c r="C14" s="108">
        <f>+'CORTE I '!C14</f>
        <v>0</v>
      </c>
      <c r="D14" s="154">
        <f>+'CORTE I '!D14</f>
        <v>0</v>
      </c>
      <c r="E14" s="43"/>
      <c r="F14" s="44"/>
      <c r="G14" s="45"/>
      <c r="H14" s="43"/>
      <c r="I14" s="44"/>
      <c r="J14" s="45"/>
      <c r="K14" s="43"/>
      <c r="L14" s="44"/>
      <c r="M14" s="90"/>
      <c r="N14" s="43"/>
      <c r="O14" s="85"/>
      <c r="P14" s="45"/>
      <c r="Q14" s="43"/>
      <c r="R14" s="85"/>
      <c r="S14" s="45"/>
      <c r="T14" s="43"/>
      <c r="U14" s="85"/>
      <c r="V14" s="45"/>
      <c r="W14" s="46"/>
      <c r="X14" s="45"/>
      <c r="Y14" s="59"/>
      <c r="Z14" s="43" t="str">
        <f t="shared" si="0"/>
        <v/>
      </c>
      <c r="AA14" s="44" t="str">
        <f t="shared" si="1"/>
        <v/>
      </c>
      <c r="AB14" s="44" t="str">
        <f t="shared" si="2"/>
        <v/>
      </c>
      <c r="AC14" s="101" t="str">
        <f t="shared" si="3"/>
        <v/>
      </c>
      <c r="AD14" s="101" t="str">
        <f t="shared" si="4"/>
        <v/>
      </c>
      <c r="AE14" s="101" t="str">
        <f t="shared" si="5"/>
        <v/>
      </c>
      <c r="AF14" s="45" t="str">
        <f t="shared" si="6"/>
        <v/>
      </c>
      <c r="AG14" s="124" t="str">
        <f t="shared" si="7"/>
        <v/>
      </c>
      <c r="AH14" s="2"/>
      <c r="AI14" s="78"/>
      <c r="AJ14" s="73"/>
      <c r="AK14" s="73"/>
      <c r="AL14" s="73"/>
      <c r="AM14" s="230"/>
      <c r="AN14" s="231"/>
      <c r="AO14" s="232"/>
      <c r="AP14" s="230"/>
      <c r="AQ14" s="231"/>
      <c r="AR14" s="232"/>
    </row>
    <row r="15" spans="1:44" x14ac:dyDescent="0.25">
      <c r="A15" s="19">
        <v>4</v>
      </c>
      <c r="B15" s="36">
        <f>+'CORTE I '!B15</f>
        <v>0</v>
      </c>
      <c r="C15" s="36">
        <f>+'CORTE I '!C15</f>
        <v>0</v>
      </c>
      <c r="D15" s="153">
        <f>+'CORTE I '!D15</f>
        <v>0</v>
      </c>
      <c r="E15" s="35"/>
      <c r="F15" s="36"/>
      <c r="G15" s="37"/>
      <c r="H15" s="35"/>
      <c r="I15" s="36"/>
      <c r="J15" s="37"/>
      <c r="K15" s="35"/>
      <c r="L15" s="36"/>
      <c r="M15" s="89"/>
      <c r="N15" s="35"/>
      <c r="O15" s="84"/>
      <c r="P15" s="37"/>
      <c r="Q15" s="35"/>
      <c r="R15" s="84"/>
      <c r="S15" s="37"/>
      <c r="T15" s="35"/>
      <c r="U15" s="84"/>
      <c r="V15" s="37"/>
      <c r="W15" s="38"/>
      <c r="X15" s="37"/>
      <c r="Y15" s="59"/>
      <c r="Z15" s="35" t="str">
        <f t="shared" si="0"/>
        <v/>
      </c>
      <c r="AA15" s="36" t="str">
        <f t="shared" si="1"/>
        <v/>
      </c>
      <c r="AB15" s="36" t="str">
        <f t="shared" si="2"/>
        <v/>
      </c>
      <c r="AC15" s="102" t="str">
        <f t="shared" si="3"/>
        <v/>
      </c>
      <c r="AD15" s="102" t="str">
        <f t="shared" si="4"/>
        <v/>
      </c>
      <c r="AE15" s="102" t="str">
        <f t="shared" si="5"/>
        <v/>
      </c>
      <c r="AF15" s="37" t="str">
        <f t="shared" si="6"/>
        <v/>
      </c>
      <c r="AG15" s="124" t="str">
        <f t="shared" si="7"/>
        <v/>
      </c>
      <c r="AH15" s="2"/>
      <c r="AI15" s="78"/>
      <c r="AJ15" s="72"/>
      <c r="AK15" s="72"/>
      <c r="AL15" s="72"/>
      <c r="AM15" s="236"/>
      <c r="AN15" s="237"/>
      <c r="AO15" s="238"/>
      <c r="AP15" s="236"/>
      <c r="AQ15" s="237"/>
      <c r="AR15" s="238"/>
    </row>
    <row r="16" spans="1:44" x14ac:dyDescent="0.25">
      <c r="A16" s="107">
        <v>5</v>
      </c>
      <c r="B16" s="108">
        <f>+'CORTE I '!B16</f>
        <v>0</v>
      </c>
      <c r="C16" s="108">
        <f>+'CORTE I '!C16</f>
        <v>0</v>
      </c>
      <c r="D16" s="154">
        <f>+'CORTE I '!D16</f>
        <v>0</v>
      </c>
      <c r="E16" s="43"/>
      <c r="F16" s="44"/>
      <c r="G16" s="45"/>
      <c r="H16" s="43"/>
      <c r="I16" s="44"/>
      <c r="J16" s="45"/>
      <c r="K16" s="43"/>
      <c r="L16" s="44"/>
      <c r="M16" s="90"/>
      <c r="N16" s="43"/>
      <c r="O16" s="85"/>
      <c r="P16" s="45"/>
      <c r="Q16" s="43"/>
      <c r="R16" s="85"/>
      <c r="S16" s="45"/>
      <c r="T16" s="43"/>
      <c r="U16" s="85"/>
      <c r="V16" s="45"/>
      <c r="W16" s="46"/>
      <c r="X16" s="45"/>
      <c r="Y16" s="59"/>
      <c r="Z16" s="43" t="str">
        <f t="shared" si="0"/>
        <v/>
      </c>
      <c r="AA16" s="44" t="str">
        <f t="shared" si="1"/>
        <v/>
      </c>
      <c r="AB16" s="44" t="str">
        <f t="shared" si="2"/>
        <v/>
      </c>
      <c r="AC16" s="101" t="str">
        <f t="shared" si="3"/>
        <v/>
      </c>
      <c r="AD16" s="101" t="str">
        <f t="shared" si="4"/>
        <v/>
      </c>
      <c r="AE16" s="101" t="str">
        <f t="shared" si="5"/>
        <v/>
      </c>
      <c r="AF16" s="45" t="str">
        <f t="shared" si="6"/>
        <v/>
      </c>
      <c r="AG16" s="124" t="str">
        <f t="shared" si="7"/>
        <v/>
      </c>
      <c r="AH16" s="2"/>
      <c r="AI16" s="78"/>
      <c r="AJ16" s="73"/>
      <c r="AK16" s="73"/>
      <c r="AL16" s="73"/>
      <c r="AM16" s="230"/>
      <c r="AN16" s="231"/>
      <c r="AO16" s="232"/>
      <c r="AP16" s="230"/>
      <c r="AQ16" s="231"/>
      <c r="AR16" s="232"/>
    </row>
    <row r="17" spans="1:44" x14ac:dyDescent="0.25">
      <c r="A17" s="19">
        <v>6</v>
      </c>
      <c r="B17" s="36">
        <f>+'CORTE I '!B17</f>
        <v>0</v>
      </c>
      <c r="C17" s="36">
        <f>+'CORTE I '!C17</f>
        <v>0</v>
      </c>
      <c r="D17" s="153">
        <f>+'CORTE I '!D17</f>
        <v>0</v>
      </c>
      <c r="E17" s="35"/>
      <c r="F17" s="36"/>
      <c r="G17" s="37"/>
      <c r="H17" s="35"/>
      <c r="I17" s="36"/>
      <c r="J17" s="37"/>
      <c r="K17" s="35"/>
      <c r="L17" s="36"/>
      <c r="M17" s="89"/>
      <c r="N17" s="35"/>
      <c r="O17" s="84"/>
      <c r="P17" s="37"/>
      <c r="Q17" s="35"/>
      <c r="R17" s="84"/>
      <c r="S17" s="37"/>
      <c r="T17" s="35"/>
      <c r="U17" s="84"/>
      <c r="V17" s="37"/>
      <c r="W17" s="38"/>
      <c r="X17" s="37"/>
      <c r="Y17" s="59"/>
      <c r="Z17" s="35" t="str">
        <f t="shared" si="0"/>
        <v/>
      </c>
      <c r="AA17" s="36" t="str">
        <f t="shared" si="1"/>
        <v/>
      </c>
      <c r="AB17" s="36" t="str">
        <f t="shared" si="2"/>
        <v/>
      </c>
      <c r="AC17" s="102" t="str">
        <f t="shared" si="3"/>
        <v/>
      </c>
      <c r="AD17" s="102" t="str">
        <f t="shared" si="4"/>
        <v/>
      </c>
      <c r="AE17" s="102" t="str">
        <f t="shared" si="5"/>
        <v/>
      </c>
      <c r="AF17" s="37" t="str">
        <f t="shared" si="6"/>
        <v/>
      </c>
      <c r="AG17" s="124" t="str">
        <f t="shared" si="7"/>
        <v/>
      </c>
      <c r="AH17" s="2"/>
      <c r="AI17" s="78"/>
      <c r="AJ17" s="72"/>
      <c r="AK17" s="72"/>
      <c r="AL17" s="72"/>
      <c r="AM17" s="236"/>
      <c r="AN17" s="237"/>
      <c r="AO17" s="238"/>
      <c r="AP17" s="236"/>
      <c r="AQ17" s="237"/>
      <c r="AR17" s="238"/>
    </row>
    <row r="18" spans="1:44" x14ac:dyDescent="0.25">
      <c r="A18" s="107">
        <v>7</v>
      </c>
      <c r="B18" s="108">
        <f>+'CORTE I '!B18</f>
        <v>0</v>
      </c>
      <c r="C18" s="108">
        <f>+'CORTE I '!C18</f>
        <v>0</v>
      </c>
      <c r="D18" s="154">
        <f>+'CORTE I '!D18</f>
        <v>0</v>
      </c>
      <c r="E18" s="43"/>
      <c r="F18" s="44"/>
      <c r="G18" s="45"/>
      <c r="H18" s="43"/>
      <c r="I18" s="44"/>
      <c r="J18" s="45"/>
      <c r="K18" s="43"/>
      <c r="L18" s="44"/>
      <c r="M18" s="90"/>
      <c r="N18" s="43"/>
      <c r="O18" s="85"/>
      <c r="P18" s="45"/>
      <c r="Q18" s="43"/>
      <c r="R18" s="85"/>
      <c r="S18" s="45"/>
      <c r="T18" s="43"/>
      <c r="U18" s="85"/>
      <c r="V18" s="45"/>
      <c r="W18" s="46"/>
      <c r="X18" s="45"/>
      <c r="Y18" s="59"/>
      <c r="Z18" s="43" t="str">
        <f t="shared" si="0"/>
        <v/>
      </c>
      <c r="AA18" s="44" t="str">
        <f t="shared" si="1"/>
        <v/>
      </c>
      <c r="AB18" s="44" t="str">
        <f t="shared" si="2"/>
        <v/>
      </c>
      <c r="AC18" s="101" t="str">
        <f t="shared" si="3"/>
        <v/>
      </c>
      <c r="AD18" s="101" t="str">
        <f t="shared" si="4"/>
        <v/>
      </c>
      <c r="AE18" s="101" t="str">
        <f t="shared" si="5"/>
        <v/>
      </c>
      <c r="AF18" s="45" t="str">
        <f t="shared" si="6"/>
        <v/>
      </c>
      <c r="AG18" s="124" t="str">
        <f t="shared" si="7"/>
        <v/>
      </c>
      <c r="AH18" s="2"/>
      <c r="AI18" s="78"/>
      <c r="AJ18" s="73"/>
      <c r="AK18" s="73"/>
      <c r="AL18" s="73"/>
      <c r="AM18" s="230"/>
      <c r="AN18" s="231"/>
      <c r="AO18" s="232"/>
      <c r="AP18" s="230"/>
      <c r="AQ18" s="231"/>
      <c r="AR18" s="232"/>
    </row>
    <row r="19" spans="1:44" x14ac:dyDescent="0.25">
      <c r="A19" s="19">
        <v>8</v>
      </c>
      <c r="B19" s="36">
        <f>+'CORTE I '!B19</f>
        <v>0</v>
      </c>
      <c r="C19" s="36">
        <f>+'CORTE I '!C19</f>
        <v>0</v>
      </c>
      <c r="D19" s="153">
        <f>+'CORTE I '!D19</f>
        <v>0</v>
      </c>
      <c r="E19" s="35"/>
      <c r="F19" s="36"/>
      <c r="G19" s="37"/>
      <c r="H19" s="35"/>
      <c r="I19" s="36"/>
      <c r="J19" s="37"/>
      <c r="K19" s="35"/>
      <c r="L19" s="36"/>
      <c r="M19" s="89"/>
      <c r="N19" s="35"/>
      <c r="O19" s="84"/>
      <c r="P19" s="37"/>
      <c r="Q19" s="35"/>
      <c r="R19" s="84"/>
      <c r="S19" s="37"/>
      <c r="T19" s="35"/>
      <c r="U19" s="84"/>
      <c r="V19" s="37"/>
      <c r="W19" s="38"/>
      <c r="X19" s="37"/>
      <c r="Y19" s="59"/>
      <c r="Z19" s="35" t="str">
        <f t="shared" si="0"/>
        <v/>
      </c>
      <c r="AA19" s="36" t="str">
        <f t="shared" si="1"/>
        <v/>
      </c>
      <c r="AB19" s="36" t="str">
        <f t="shared" si="2"/>
        <v/>
      </c>
      <c r="AC19" s="102" t="str">
        <f t="shared" si="3"/>
        <v/>
      </c>
      <c r="AD19" s="102" t="str">
        <f t="shared" si="4"/>
        <v/>
      </c>
      <c r="AE19" s="102" t="str">
        <f t="shared" si="5"/>
        <v/>
      </c>
      <c r="AF19" s="37" t="str">
        <f t="shared" si="6"/>
        <v/>
      </c>
      <c r="AG19" s="124" t="str">
        <f t="shared" si="7"/>
        <v/>
      </c>
      <c r="AH19" s="2"/>
      <c r="AI19" s="78"/>
      <c r="AJ19" s="72"/>
      <c r="AK19" s="72"/>
      <c r="AL19" s="72"/>
      <c r="AM19" s="236"/>
      <c r="AN19" s="237"/>
      <c r="AO19" s="238"/>
      <c r="AP19" s="236"/>
      <c r="AQ19" s="237"/>
      <c r="AR19" s="238"/>
    </row>
    <row r="20" spans="1:44" x14ac:dyDescent="0.25">
      <c r="A20" s="107">
        <v>9</v>
      </c>
      <c r="B20" s="108">
        <f>+'CORTE I '!B20</f>
        <v>0</v>
      </c>
      <c r="C20" s="108">
        <f>+'CORTE I '!C20</f>
        <v>0</v>
      </c>
      <c r="D20" s="154">
        <f>+'CORTE I '!D20</f>
        <v>0</v>
      </c>
      <c r="E20" s="43"/>
      <c r="F20" s="44"/>
      <c r="G20" s="45"/>
      <c r="H20" s="43"/>
      <c r="I20" s="44"/>
      <c r="J20" s="45"/>
      <c r="K20" s="43"/>
      <c r="L20" s="44"/>
      <c r="M20" s="90"/>
      <c r="N20" s="43"/>
      <c r="O20" s="85"/>
      <c r="P20" s="45"/>
      <c r="Q20" s="43"/>
      <c r="R20" s="85"/>
      <c r="S20" s="45"/>
      <c r="T20" s="43"/>
      <c r="U20" s="85"/>
      <c r="V20" s="45"/>
      <c r="W20" s="46"/>
      <c r="X20" s="45"/>
      <c r="Y20" s="59"/>
      <c r="Z20" s="43" t="str">
        <f t="shared" si="0"/>
        <v/>
      </c>
      <c r="AA20" s="44" t="str">
        <f t="shared" si="1"/>
        <v/>
      </c>
      <c r="AB20" s="44" t="str">
        <f t="shared" si="2"/>
        <v/>
      </c>
      <c r="AC20" s="101" t="str">
        <f t="shared" si="3"/>
        <v/>
      </c>
      <c r="AD20" s="101" t="str">
        <f t="shared" si="4"/>
        <v/>
      </c>
      <c r="AE20" s="101" t="str">
        <f t="shared" si="5"/>
        <v/>
      </c>
      <c r="AF20" s="45" t="str">
        <f t="shared" si="6"/>
        <v/>
      </c>
      <c r="AG20" s="124" t="str">
        <f t="shared" si="7"/>
        <v/>
      </c>
      <c r="AH20" s="2"/>
      <c r="AI20" s="78"/>
      <c r="AJ20" s="73"/>
      <c r="AK20" s="73"/>
      <c r="AL20" s="73"/>
      <c r="AM20" s="230"/>
      <c r="AN20" s="231"/>
      <c r="AO20" s="232"/>
      <c r="AP20" s="230"/>
      <c r="AQ20" s="231"/>
      <c r="AR20" s="232"/>
    </row>
    <row r="21" spans="1:44" x14ac:dyDescent="0.25">
      <c r="A21" s="19">
        <v>10</v>
      </c>
      <c r="B21" s="36">
        <f>+'CORTE I '!B21</f>
        <v>0</v>
      </c>
      <c r="C21" s="36">
        <f>+'CORTE I '!C21</f>
        <v>0</v>
      </c>
      <c r="D21" s="153">
        <f>+'CORTE I '!D21</f>
        <v>0</v>
      </c>
      <c r="E21" s="35"/>
      <c r="F21" s="36"/>
      <c r="G21" s="37"/>
      <c r="H21" s="35"/>
      <c r="I21" s="36"/>
      <c r="J21" s="37"/>
      <c r="K21" s="35"/>
      <c r="L21" s="36"/>
      <c r="M21" s="89"/>
      <c r="N21" s="35"/>
      <c r="O21" s="84"/>
      <c r="P21" s="37"/>
      <c r="Q21" s="35"/>
      <c r="R21" s="84"/>
      <c r="S21" s="37"/>
      <c r="T21" s="35"/>
      <c r="U21" s="84"/>
      <c r="V21" s="37"/>
      <c r="W21" s="38"/>
      <c r="X21" s="37"/>
      <c r="Y21" s="59"/>
      <c r="Z21" s="35" t="str">
        <f t="shared" si="0"/>
        <v/>
      </c>
      <c r="AA21" s="36" t="str">
        <f t="shared" si="1"/>
        <v/>
      </c>
      <c r="AB21" s="36" t="str">
        <f t="shared" si="2"/>
        <v/>
      </c>
      <c r="AC21" s="102" t="str">
        <f t="shared" si="3"/>
        <v/>
      </c>
      <c r="AD21" s="102" t="str">
        <f t="shared" si="4"/>
        <v/>
      </c>
      <c r="AE21" s="102" t="str">
        <f t="shared" si="5"/>
        <v/>
      </c>
      <c r="AF21" s="37" t="str">
        <f t="shared" si="6"/>
        <v/>
      </c>
      <c r="AG21" s="124" t="str">
        <f t="shared" si="7"/>
        <v/>
      </c>
      <c r="AH21" s="2"/>
      <c r="AI21" s="78"/>
      <c r="AJ21" s="72"/>
      <c r="AK21" s="72"/>
      <c r="AL21" s="72"/>
      <c r="AM21" s="236"/>
      <c r="AN21" s="237"/>
      <c r="AO21" s="238"/>
      <c r="AP21" s="236"/>
      <c r="AQ21" s="237"/>
      <c r="AR21" s="238"/>
    </row>
    <row r="22" spans="1:44" x14ac:dyDescent="0.25">
      <c r="A22" s="107">
        <v>11</v>
      </c>
      <c r="B22" s="108">
        <f>+'CORTE I '!B22</f>
        <v>0</v>
      </c>
      <c r="C22" s="108">
        <f>+'CORTE I '!C22</f>
        <v>0</v>
      </c>
      <c r="D22" s="154">
        <f>+'CORTE I '!D22</f>
        <v>0</v>
      </c>
      <c r="E22" s="43"/>
      <c r="F22" s="44"/>
      <c r="G22" s="45"/>
      <c r="H22" s="43"/>
      <c r="I22" s="44"/>
      <c r="J22" s="45"/>
      <c r="K22" s="43"/>
      <c r="L22" s="44"/>
      <c r="M22" s="90"/>
      <c r="N22" s="43"/>
      <c r="O22" s="85"/>
      <c r="P22" s="45"/>
      <c r="Q22" s="43"/>
      <c r="R22" s="85"/>
      <c r="S22" s="45"/>
      <c r="T22" s="43"/>
      <c r="U22" s="85"/>
      <c r="V22" s="45"/>
      <c r="W22" s="46"/>
      <c r="X22" s="45"/>
      <c r="Y22" s="59"/>
      <c r="Z22" s="43" t="str">
        <f t="shared" si="0"/>
        <v/>
      </c>
      <c r="AA22" s="44" t="str">
        <f t="shared" si="1"/>
        <v/>
      </c>
      <c r="AB22" s="44" t="str">
        <f t="shared" si="2"/>
        <v/>
      </c>
      <c r="AC22" s="101" t="str">
        <f t="shared" si="3"/>
        <v/>
      </c>
      <c r="AD22" s="101" t="str">
        <f t="shared" si="4"/>
        <v/>
      </c>
      <c r="AE22" s="101" t="str">
        <f t="shared" si="5"/>
        <v/>
      </c>
      <c r="AF22" s="45" t="str">
        <f t="shared" si="6"/>
        <v/>
      </c>
      <c r="AG22" s="124" t="str">
        <f t="shared" si="7"/>
        <v/>
      </c>
      <c r="AH22" s="2"/>
      <c r="AI22" s="78"/>
      <c r="AJ22" s="73"/>
      <c r="AK22" s="73"/>
      <c r="AL22" s="73"/>
      <c r="AM22" s="230"/>
      <c r="AN22" s="231"/>
      <c r="AO22" s="232"/>
      <c r="AP22" s="230"/>
      <c r="AQ22" s="231"/>
      <c r="AR22" s="232"/>
    </row>
    <row r="23" spans="1:44" x14ac:dyDescent="0.25">
      <c r="A23" s="19">
        <v>12</v>
      </c>
      <c r="B23" s="36">
        <f>+'CORTE I '!B23</f>
        <v>0</v>
      </c>
      <c r="C23" s="36">
        <f>+'CORTE I '!C23</f>
        <v>0</v>
      </c>
      <c r="D23" s="153">
        <f>+'CORTE I '!D23</f>
        <v>0</v>
      </c>
      <c r="E23" s="35"/>
      <c r="F23" s="36"/>
      <c r="G23" s="37"/>
      <c r="H23" s="35"/>
      <c r="I23" s="36"/>
      <c r="J23" s="37"/>
      <c r="K23" s="35"/>
      <c r="L23" s="36"/>
      <c r="M23" s="89"/>
      <c r="N23" s="35"/>
      <c r="O23" s="84"/>
      <c r="P23" s="37"/>
      <c r="Q23" s="35"/>
      <c r="R23" s="84"/>
      <c r="S23" s="37"/>
      <c r="T23" s="35"/>
      <c r="U23" s="84"/>
      <c r="V23" s="37"/>
      <c r="W23" s="38"/>
      <c r="X23" s="37"/>
      <c r="Y23" s="59"/>
      <c r="Z23" s="35" t="str">
        <f t="shared" si="0"/>
        <v/>
      </c>
      <c r="AA23" s="36" t="str">
        <f>IF(D23&gt;0,IF(ISERROR(AVERAGE(H23:J23)),0,AVERAGE(H23:J23)),"")</f>
        <v/>
      </c>
      <c r="AB23" s="36" t="str">
        <f t="shared" si="2"/>
        <v/>
      </c>
      <c r="AC23" s="102" t="str">
        <f t="shared" si="3"/>
        <v/>
      </c>
      <c r="AD23" s="102" t="str">
        <f t="shared" si="4"/>
        <v/>
      </c>
      <c r="AE23" s="102" t="str">
        <f t="shared" si="5"/>
        <v/>
      </c>
      <c r="AF23" s="37" t="str">
        <f t="shared" si="6"/>
        <v/>
      </c>
      <c r="AG23" s="124" t="str">
        <f t="shared" si="7"/>
        <v/>
      </c>
      <c r="AH23" s="2"/>
      <c r="AI23" s="78"/>
      <c r="AJ23" s="72"/>
      <c r="AK23" s="72"/>
      <c r="AL23" s="72"/>
      <c r="AM23" s="236"/>
      <c r="AN23" s="237"/>
      <c r="AO23" s="238"/>
      <c r="AP23" s="236"/>
      <c r="AQ23" s="237"/>
      <c r="AR23" s="238"/>
    </row>
    <row r="24" spans="1:44" x14ac:dyDescent="0.25">
      <c r="A24" s="107">
        <v>13</v>
      </c>
      <c r="B24" s="108">
        <f>+'CORTE I '!B24</f>
        <v>0</v>
      </c>
      <c r="C24" s="108">
        <f>+'CORTE I '!C24</f>
        <v>0</v>
      </c>
      <c r="D24" s="154">
        <f>+'CORTE I '!D24</f>
        <v>0</v>
      </c>
      <c r="E24" s="43"/>
      <c r="F24" s="44"/>
      <c r="G24" s="45"/>
      <c r="H24" s="43"/>
      <c r="I24" s="44"/>
      <c r="J24" s="45"/>
      <c r="K24" s="43"/>
      <c r="L24" s="44"/>
      <c r="M24" s="90"/>
      <c r="N24" s="43"/>
      <c r="O24" s="85"/>
      <c r="P24" s="45"/>
      <c r="Q24" s="43"/>
      <c r="R24" s="85"/>
      <c r="S24" s="45"/>
      <c r="T24" s="43"/>
      <c r="U24" s="85"/>
      <c r="V24" s="45"/>
      <c r="W24" s="46"/>
      <c r="X24" s="45"/>
      <c r="Y24" s="59"/>
      <c r="Z24" s="43" t="str">
        <f t="shared" si="0"/>
        <v/>
      </c>
      <c r="AA24" s="44" t="str">
        <f t="shared" si="1"/>
        <v/>
      </c>
      <c r="AB24" s="44" t="str">
        <f t="shared" si="2"/>
        <v/>
      </c>
      <c r="AC24" s="101" t="str">
        <f t="shared" si="3"/>
        <v/>
      </c>
      <c r="AD24" s="101" t="str">
        <f t="shared" si="4"/>
        <v/>
      </c>
      <c r="AE24" s="101" t="str">
        <f t="shared" si="5"/>
        <v/>
      </c>
      <c r="AF24" s="45" t="str">
        <f t="shared" si="6"/>
        <v/>
      </c>
      <c r="AG24" s="124" t="str">
        <f t="shared" si="7"/>
        <v/>
      </c>
      <c r="AH24" s="2"/>
      <c r="AI24" s="78"/>
      <c r="AJ24" s="73"/>
      <c r="AK24" s="73"/>
      <c r="AL24" s="73"/>
      <c r="AM24" s="230"/>
      <c r="AN24" s="231"/>
      <c r="AO24" s="232"/>
      <c r="AP24" s="230"/>
      <c r="AQ24" s="231"/>
      <c r="AR24" s="232"/>
    </row>
    <row r="25" spans="1:44" x14ac:dyDescent="0.25">
      <c r="A25" s="19">
        <v>14</v>
      </c>
      <c r="B25" s="36">
        <f>+'CORTE I '!B25</f>
        <v>0</v>
      </c>
      <c r="C25" s="36">
        <f>+'CORTE I '!C25</f>
        <v>0</v>
      </c>
      <c r="D25" s="153">
        <f>+'CORTE I '!D25</f>
        <v>0</v>
      </c>
      <c r="E25" s="35"/>
      <c r="F25" s="36"/>
      <c r="G25" s="37"/>
      <c r="H25" s="35"/>
      <c r="I25" s="36"/>
      <c r="J25" s="37"/>
      <c r="K25" s="35"/>
      <c r="L25" s="36"/>
      <c r="M25" s="89"/>
      <c r="N25" s="35"/>
      <c r="O25" s="84"/>
      <c r="P25" s="37"/>
      <c r="Q25" s="35"/>
      <c r="R25" s="84"/>
      <c r="S25" s="37"/>
      <c r="T25" s="35"/>
      <c r="U25" s="84"/>
      <c r="V25" s="37"/>
      <c r="W25" s="38"/>
      <c r="X25" s="37"/>
      <c r="Y25" s="59"/>
      <c r="Z25" s="35" t="str">
        <f t="shared" si="0"/>
        <v/>
      </c>
      <c r="AA25" s="36" t="str">
        <f t="shared" si="1"/>
        <v/>
      </c>
      <c r="AB25" s="36" t="str">
        <f t="shared" si="2"/>
        <v/>
      </c>
      <c r="AC25" s="102" t="str">
        <f t="shared" si="3"/>
        <v/>
      </c>
      <c r="AD25" s="102" t="str">
        <f t="shared" si="4"/>
        <v/>
      </c>
      <c r="AE25" s="102" t="str">
        <f t="shared" si="5"/>
        <v/>
      </c>
      <c r="AF25" s="37" t="str">
        <f t="shared" si="6"/>
        <v/>
      </c>
      <c r="AG25" s="124" t="str">
        <f t="shared" si="7"/>
        <v/>
      </c>
      <c r="AH25" s="2"/>
      <c r="AI25" s="78"/>
      <c r="AJ25" s="72"/>
      <c r="AK25" s="72"/>
      <c r="AL25" s="72"/>
      <c r="AM25" s="236"/>
      <c r="AN25" s="237"/>
      <c r="AO25" s="238"/>
      <c r="AP25" s="236"/>
      <c r="AQ25" s="237"/>
      <c r="AR25" s="238"/>
    </row>
    <row r="26" spans="1:44" x14ac:dyDescent="0.25">
      <c r="A26" s="107">
        <v>15</v>
      </c>
      <c r="B26" s="108">
        <f>+'CORTE I '!B26</f>
        <v>0</v>
      </c>
      <c r="C26" s="108">
        <f>+'CORTE I '!C26</f>
        <v>0</v>
      </c>
      <c r="D26" s="154">
        <f>+'CORTE I '!D26</f>
        <v>0</v>
      </c>
      <c r="E26" s="43"/>
      <c r="F26" s="44"/>
      <c r="G26" s="45"/>
      <c r="H26" s="43"/>
      <c r="I26" s="44"/>
      <c r="J26" s="45"/>
      <c r="K26" s="43"/>
      <c r="L26" s="44"/>
      <c r="M26" s="90"/>
      <c r="N26" s="43"/>
      <c r="O26" s="85"/>
      <c r="P26" s="45"/>
      <c r="Q26" s="43"/>
      <c r="R26" s="85"/>
      <c r="S26" s="45"/>
      <c r="T26" s="43"/>
      <c r="U26" s="85"/>
      <c r="V26" s="45"/>
      <c r="W26" s="46"/>
      <c r="X26" s="45"/>
      <c r="Y26" s="59"/>
      <c r="Z26" s="43" t="str">
        <f t="shared" si="0"/>
        <v/>
      </c>
      <c r="AA26" s="44" t="str">
        <f t="shared" si="1"/>
        <v/>
      </c>
      <c r="AB26" s="44" t="str">
        <f t="shared" si="2"/>
        <v/>
      </c>
      <c r="AC26" s="101" t="str">
        <f t="shared" si="3"/>
        <v/>
      </c>
      <c r="AD26" s="101" t="str">
        <f t="shared" si="4"/>
        <v/>
      </c>
      <c r="AE26" s="101" t="str">
        <f t="shared" si="5"/>
        <v/>
      </c>
      <c r="AF26" s="45" t="str">
        <f t="shared" si="6"/>
        <v/>
      </c>
      <c r="AG26" s="124" t="str">
        <f t="shared" si="7"/>
        <v/>
      </c>
      <c r="AH26" s="2"/>
      <c r="AI26" s="78"/>
      <c r="AJ26" s="73"/>
      <c r="AK26" s="73"/>
      <c r="AL26" s="73"/>
      <c r="AM26" s="230"/>
      <c r="AN26" s="231"/>
      <c r="AO26" s="232"/>
      <c r="AP26" s="230"/>
      <c r="AQ26" s="231"/>
      <c r="AR26" s="232"/>
    </row>
    <row r="27" spans="1:44" x14ac:dyDescent="0.25">
      <c r="A27" s="19">
        <v>16</v>
      </c>
      <c r="B27" s="36">
        <f>+'CORTE I '!B27</f>
        <v>0</v>
      </c>
      <c r="C27" s="36">
        <f>+'CORTE I '!C27</f>
        <v>0</v>
      </c>
      <c r="D27" s="153">
        <f>+'CORTE I '!D27</f>
        <v>0</v>
      </c>
      <c r="E27" s="35"/>
      <c r="F27" s="36"/>
      <c r="G27" s="37"/>
      <c r="H27" s="35"/>
      <c r="I27" s="36"/>
      <c r="J27" s="37"/>
      <c r="K27" s="35"/>
      <c r="L27" s="36"/>
      <c r="M27" s="89"/>
      <c r="N27" s="35"/>
      <c r="O27" s="84"/>
      <c r="P27" s="37"/>
      <c r="Q27" s="35"/>
      <c r="R27" s="84"/>
      <c r="S27" s="37"/>
      <c r="T27" s="35"/>
      <c r="U27" s="84"/>
      <c r="V27" s="37"/>
      <c r="W27" s="38"/>
      <c r="X27" s="37"/>
      <c r="Y27" s="59"/>
      <c r="Z27" s="35" t="str">
        <f t="shared" si="0"/>
        <v/>
      </c>
      <c r="AA27" s="36" t="str">
        <f t="shared" si="1"/>
        <v/>
      </c>
      <c r="AB27" s="36" t="str">
        <f t="shared" si="2"/>
        <v/>
      </c>
      <c r="AC27" s="102" t="str">
        <f t="shared" si="3"/>
        <v/>
      </c>
      <c r="AD27" s="102" t="str">
        <f t="shared" si="4"/>
        <v/>
      </c>
      <c r="AE27" s="102" t="str">
        <f t="shared" si="5"/>
        <v/>
      </c>
      <c r="AF27" s="37" t="str">
        <f t="shared" si="6"/>
        <v/>
      </c>
      <c r="AG27" s="124" t="str">
        <f t="shared" si="7"/>
        <v/>
      </c>
      <c r="AH27" s="2"/>
      <c r="AI27" s="78"/>
      <c r="AJ27" s="72"/>
      <c r="AK27" s="72"/>
      <c r="AL27" s="72"/>
      <c r="AM27" s="236"/>
      <c r="AN27" s="237"/>
      <c r="AO27" s="238"/>
      <c r="AP27" s="236"/>
      <c r="AQ27" s="237"/>
      <c r="AR27" s="238"/>
    </row>
    <row r="28" spans="1:44" x14ac:dyDescent="0.25">
      <c r="A28" s="107">
        <v>17</v>
      </c>
      <c r="B28" s="108">
        <f>+'CORTE I '!B28</f>
        <v>0</v>
      </c>
      <c r="C28" s="108">
        <f>+'CORTE I '!C28</f>
        <v>0</v>
      </c>
      <c r="D28" s="154">
        <f>+'CORTE I '!D28</f>
        <v>0</v>
      </c>
      <c r="E28" s="43"/>
      <c r="F28" s="44"/>
      <c r="G28" s="45"/>
      <c r="H28" s="43"/>
      <c r="I28" s="44"/>
      <c r="J28" s="45"/>
      <c r="K28" s="43"/>
      <c r="L28" s="44"/>
      <c r="M28" s="90"/>
      <c r="N28" s="43"/>
      <c r="O28" s="85"/>
      <c r="P28" s="45"/>
      <c r="Q28" s="43"/>
      <c r="R28" s="85"/>
      <c r="S28" s="45"/>
      <c r="T28" s="43"/>
      <c r="U28" s="85"/>
      <c r="V28" s="45"/>
      <c r="W28" s="46"/>
      <c r="X28" s="45"/>
      <c r="Y28" s="59"/>
      <c r="Z28" s="43" t="str">
        <f t="shared" si="0"/>
        <v/>
      </c>
      <c r="AA28" s="44" t="str">
        <f t="shared" si="1"/>
        <v/>
      </c>
      <c r="AB28" s="44" t="str">
        <f t="shared" si="2"/>
        <v/>
      </c>
      <c r="AC28" s="101" t="str">
        <f t="shared" si="3"/>
        <v/>
      </c>
      <c r="AD28" s="101" t="str">
        <f t="shared" si="4"/>
        <v/>
      </c>
      <c r="AE28" s="101" t="str">
        <f t="shared" si="5"/>
        <v/>
      </c>
      <c r="AF28" s="45" t="str">
        <f t="shared" si="6"/>
        <v/>
      </c>
      <c r="AG28" s="124" t="str">
        <f t="shared" si="7"/>
        <v/>
      </c>
      <c r="AH28" s="2"/>
      <c r="AI28" s="78"/>
      <c r="AJ28" s="73"/>
      <c r="AK28" s="73"/>
      <c r="AL28" s="73"/>
      <c r="AM28" s="230"/>
      <c r="AN28" s="231"/>
      <c r="AO28" s="232"/>
      <c r="AP28" s="230"/>
      <c r="AQ28" s="231"/>
      <c r="AR28" s="232"/>
    </row>
    <row r="29" spans="1:44" x14ac:dyDescent="0.25">
      <c r="A29" s="19">
        <v>18</v>
      </c>
      <c r="B29" s="36">
        <f>+'CORTE I '!B29</f>
        <v>0</v>
      </c>
      <c r="C29" s="36">
        <f>+'CORTE I '!C29</f>
        <v>0</v>
      </c>
      <c r="D29" s="153">
        <f>+'CORTE I '!D29</f>
        <v>0</v>
      </c>
      <c r="E29" s="35"/>
      <c r="F29" s="36"/>
      <c r="G29" s="37"/>
      <c r="H29" s="35"/>
      <c r="I29" s="36"/>
      <c r="J29" s="37"/>
      <c r="K29" s="35"/>
      <c r="L29" s="36"/>
      <c r="M29" s="89"/>
      <c r="N29" s="35"/>
      <c r="O29" s="84"/>
      <c r="P29" s="37"/>
      <c r="Q29" s="35"/>
      <c r="R29" s="84"/>
      <c r="S29" s="37"/>
      <c r="T29" s="35"/>
      <c r="U29" s="84"/>
      <c r="V29" s="37"/>
      <c r="W29" s="38"/>
      <c r="X29" s="37"/>
      <c r="Y29" s="59"/>
      <c r="Z29" s="35" t="str">
        <f t="shared" si="0"/>
        <v/>
      </c>
      <c r="AA29" s="36" t="str">
        <f t="shared" si="1"/>
        <v/>
      </c>
      <c r="AB29" s="36" t="str">
        <f t="shared" si="2"/>
        <v/>
      </c>
      <c r="AC29" s="102" t="str">
        <f t="shared" si="3"/>
        <v/>
      </c>
      <c r="AD29" s="102" t="str">
        <f t="shared" si="4"/>
        <v/>
      </c>
      <c r="AE29" s="102" t="str">
        <f t="shared" si="5"/>
        <v/>
      </c>
      <c r="AF29" s="37" t="str">
        <f t="shared" si="6"/>
        <v/>
      </c>
      <c r="AG29" s="124" t="str">
        <f t="shared" si="7"/>
        <v/>
      </c>
      <c r="AH29" s="2"/>
      <c r="AI29" s="78"/>
      <c r="AJ29" s="72"/>
      <c r="AK29" s="72"/>
      <c r="AL29" s="72"/>
      <c r="AM29" s="236"/>
      <c r="AN29" s="237"/>
      <c r="AO29" s="238"/>
      <c r="AP29" s="236"/>
      <c r="AQ29" s="237"/>
      <c r="AR29" s="238"/>
    </row>
    <row r="30" spans="1:44" x14ac:dyDescent="0.25">
      <c r="A30" s="107">
        <v>19</v>
      </c>
      <c r="B30" s="108">
        <f>+'CORTE I '!B30</f>
        <v>0</v>
      </c>
      <c r="C30" s="108">
        <f>+'CORTE I '!C30</f>
        <v>0</v>
      </c>
      <c r="D30" s="154">
        <f>+'CORTE I '!D30</f>
        <v>0</v>
      </c>
      <c r="E30" s="43"/>
      <c r="F30" s="44"/>
      <c r="G30" s="45"/>
      <c r="H30" s="43"/>
      <c r="I30" s="44"/>
      <c r="J30" s="45"/>
      <c r="K30" s="43"/>
      <c r="L30" s="44"/>
      <c r="M30" s="90"/>
      <c r="N30" s="43"/>
      <c r="O30" s="85"/>
      <c r="P30" s="45"/>
      <c r="Q30" s="43"/>
      <c r="R30" s="85"/>
      <c r="S30" s="45"/>
      <c r="T30" s="43"/>
      <c r="U30" s="85"/>
      <c r="V30" s="45"/>
      <c r="W30" s="46"/>
      <c r="X30" s="45"/>
      <c r="Y30" s="59"/>
      <c r="Z30" s="43" t="str">
        <f t="shared" si="0"/>
        <v/>
      </c>
      <c r="AA30" s="44" t="str">
        <f t="shared" si="1"/>
        <v/>
      </c>
      <c r="AB30" s="44" t="str">
        <f t="shared" si="2"/>
        <v/>
      </c>
      <c r="AC30" s="101" t="str">
        <f t="shared" si="3"/>
        <v/>
      </c>
      <c r="AD30" s="101" t="str">
        <f t="shared" si="4"/>
        <v/>
      </c>
      <c r="AE30" s="101" t="str">
        <f t="shared" si="5"/>
        <v/>
      </c>
      <c r="AF30" s="45" t="str">
        <f t="shared" si="6"/>
        <v/>
      </c>
      <c r="AG30" s="124" t="str">
        <f t="shared" si="7"/>
        <v/>
      </c>
      <c r="AH30" s="2"/>
      <c r="AI30" s="78"/>
      <c r="AJ30" s="73"/>
      <c r="AK30" s="73"/>
      <c r="AL30" s="73"/>
      <c r="AM30" s="230"/>
      <c r="AN30" s="231"/>
      <c r="AO30" s="232"/>
      <c r="AP30" s="230"/>
      <c r="AQ30" s="231"/>
      <c r="AR30" s="232"/>
    </row>
    <row r="31" spans="1:44" x14ac:dyDescent="0.25">
      <c r="A31" s="19">
        <v>20</v>
      </c>
      <c r="B31" s="36">
        <f>+'CORTE I '!B31</f>
        <v>0</v>
      </c>
      <c r="C31" s="36">
        <f>+'CORTE I '!C31</f>
        <v>0</v>
      </c>
      <c r="D31" s="153">
        <f>+'CORTE I '!D31</f>
        <v>0</v>
      </c>
      <c r="E31" s="35"/>
      <c r="F31" s="36"/>
      <c r="G31" s="37"/>
      <c r="H31" s="35"/>
      <c r="I31" s="36"/>
      <c r="J31" s="37"/>
      <c r="K31" s="35"/>
      <c r="L31" s="36"/>
      <c r="M31" s="89"/>
      <c r="N31" s="35"/>
      <c r="O31" s="84"/>
      <c r="P31" s="37"/>
      <c r="Q31" s="35"/>
      <c r="R31" s="84"/>
      <c r="S31" s="37"/>
      <c r="T31" s="35"/>
      <c r="U31" s="84"/>
      <c r="V31" s="37"/>
      <c r="W31" s="38"/>
      <c r="X31" s="37"/>
      <c r="Y31" s="59"/>
      <c r="Z31" s="35" t="str">
        <f t="shared" si="0"/>
        <v/>
      </c>
      <c r="AA31" s="36" t="str">
        <f t="shared" si="1"/>
        <v/>
      </c>
      <c r="AB31" s="36" t="str">
        <f t="shared" si="2"/>
        <v/>
      </c>
      <c r="AC31" s="102" t="str">
        <f t="shared" si="3"/>
        <v/>
      </c>
      <c r="AD31" s="102" t="str">
        <f t="shared" si="4"/>
        <v/>
      </c>
      <c r="AE31" s="102" t="str">
        <f t="shared" si="5"/>
        <v/>
      </c>
      <c r="AF31" s="37" t="str">
        <f t="shared" si="6"/>
        <v/>
      </c>
      <c r="AG31" s="124" t="str">
        <f t="shared" si="7"/>
        <v/>
      </c>
      <c r="AH31" s="2"/>
      <c r="AI31" s="78"/>
      <c r="AJ31" s="72"/>
      <c r="AK31" s="72"/>
      <c r="AL31" s="72"/>
      <c r="AM31" s="236"/>
      <c r="AN31" s="237"/>
      <c r="AO31" s="238"/>
      <c r="AP31" s="236"/>
      <c r="AQ31" s="237"/>
      <c r="AR31" s="238"/>
    </row>
    <row r="32" spans="1:44" x14ac:dyDescent="0.25">
      <c r="A32" s="107">
        <v>21</v>
      </c>
      <c r="B32" s="108">
        <f>+'CORTE I '!B32</f>
        <v>0</v>
      </c>
      <c r="C32" s="108">
        <f>+'CORTE I '!C32</f>
        <v>0</v>
      </c>
      <c r="D32" s="154">
        <f>+'CORTE I '!D32</f>
        <v>0</v>
      </c>
      <c r="E32" s="43"/>
      <c r="F32" s="44"/>
      <c r="G32" s="45"/>
      <c r="H32" s="43"/>
      <c r="I32" s="44"/>
      <c r="J32" s="45"/>
      <c r="K32" s="43"/>
      <c r="L32" s="44"/>
      <c r="M32" s="90"/>
      <c r="N32" s="43"/>
      <c r="O32" s="85"/>
      <c r="P32" s="45"/>
      <c r="Q32" s="43"/>
      <c r="R32" s="85"/>
      <c r="S32" s="45"/>
      <c r="T32" s="43"/>
      <c r="U32" s="85"/>
      <c r="V32" s="45"/>
      <c r="W32" s="46"/>
      <c r="X32" s="45"/>
      <c r="Y32" s="59"/>
      <c r="Z32" s="43" t="str">
        <f t="shared" si="0"/>
        <v/>
      </c>
      <c r="AA32" s="44" t="str">
        <f t="shared" si="1"/>
        <v/>
      </c>
      <c r="AB32" s="44" t="str">
        <f t="shared" si="2"/>
        <v/>
      </c>
      <c r="AC32" s="88" t="str">
        <f t="shared" si="3"/>
        <v/>
      </c>
      <c r="AD32" s="88" t="str">
        <f t="shared" si="4"/>
        <v/>
      </c>
      <c r="AE32" s="88" t="str">
        <f t="shared" si="5"/>
        <v/>
      </c>
      <c r="AF32" s="45" t="str">
        <f t="shared" si="6"/>
        <v/>
      </c>
      <c r="AG32" s="124" t="str">
        <f t="shared" si="7"/>
        <v/>
      </c>
      <c r="AH32" s="2"/>
      <c r="AI32" s="78"/>
      <c r="AJ32" s="73"/>
      <c r="AK32" s="73"/>
      <c r="AL32" s="73"/>
      <c r="AM32" s="230"/>
      <c r="AN32" s="231"/>
      <c r="AO32" s="232"/>
      <c r="AP32" s="230"/>
      <c r="AQ32" s="231"/>
      <c r="AR32" s="232"/>
    </row>
    <row r="33" spans="1:44" x14ac:dyDescent="0.25">
      <c r="A33" s="19">
        <v>22</v>
      </c>
      <c r="B33" s="36">
        <f>+'CORTE I '!B33</f>
        <v>0</v>
      </c>
      <c r="C33" s="36">
        <f>+'CORTE I '!C33</f>
        <v>0</v>
      </c>
      <c r="D33" s="153">
        <f>+'CORTE I '!D33</f>
        <v>0</v>
      </c>
      <c r="E33" s="35"/>
      <c r="F33" s="36"/>
      <c r="G33" s="37"/>
      <c r="H33" s="35"/>
      <c r="I33" s="36"/>
      <c r="J33" s="37"/>
      <c r="K33" s="35"/>
      <c r="L33" s="36"/>
      <c r="M33" s="89"/>
      <c r="N33" s="35"/>
      <c r="O33" s="84"/>
      <c r="P33" s="37"/>
      <c r="Q33" s="35"/>
      <c r="R33" s="84"/>
      <c r="S33" s="37"/>
      <c r="T33" s="35"/>
      <c r="U33" s="84"/>
      <c r="V33" s="37"/>
      <c r="W33" s="38"/>
      <c r="X33" s="37"/>
      <c r="Y33" s="59"/>
      <c r="Z33" s="35" t="str">
        <f t="shared" si="0"/>
        <v/>
      </c>
      <c r="AA33" s="36" t="str">
        <f t="shared" si="1"/>
        <v/>
      </c>
      <c r="AB33" s="36" t="str">
        <f t="shared" si="2"/>
        <v/>
      </c>
      <c r="AC33" s="102" t="str">
        <f t="shared" si="3"/>
        <v/>
      </c>
      <c r="AD33" s="102" t="str">
        <f t="shared" si="4"/>
        <v/>
      </c>
      <c r="AE33" s="102" t="str">
        <f t="shared" si="5"/>
        <v/>
      </c>
      <c r="AF33" s="37" t="str">
        <f t="shared" si="6"/>
        <v/>
      </c>
      <c r="AG33" s="124" t="str">
        <f t="shared" si="7"/>
        <v/>
      </c>
      <c r="AH33" s="2"/>
      <c r="AI33" s="78"/>
      <c r="AJ33" s="72"/>
      <c r="AK33" s="72"/>
      <c r="AL33" s="72"/>
      <c r="AM33" s="236"/>
      <c r="AN33" s="237"/>
      <c r="AO33" s="238"/>
      <c r="AP33" s="236"/>
      <c r="AQ33" s="237"/>
      <c r="AR33" s="238"/>
    </row>
    <row r="34" spans="1:44" x14ac:dyDescent="0.25">
      <c r="A34" s="107">
        <v>23</v>
      </c>
      <c r="B34" s="108">
        <f>+'CORTE I '!B34</f>
        <v>0</v>
      </c>
      <c r="C34" s="108">
        <f>+'CORTE I '!C34</f>
        <v>0</v>
      </c>
      <c r="D34" s="154">
        <f>+'CORTE I '!D34</f>
        <v>0</v>
      </c>
      <c r="E34" s="43"/>
      <c r="F34" s="44"/>
      <c r="G34" s="45"/>
      <c r="H34" s="43"/>
      <c r="I34" s="44"/>
      <c r="J34" s="45"/>
      <c r="K34" s="43"/>
      <c r="L34" s="44"/>
      <c r="M34" s="90"/>
      <c r="N34" s="43"/>
      <c r="O34" s="85"/>
      <c r="P34" s="45"/>
      <c r="Q34" s="43"/>
      <c r="R34" s="85"/>
      <c r="S34" s="45"/>
      <c r="T34" s="43"/>
      <c r="U34" s="85"/>
      <c r="V34" s="45"/>
      <c r="W34" s="46"/>
      <c r="X34" s="45"/>
      <c r="Y34" s="59"/>
      <c r="Z34" s="43" t="str">
        <f t="shared" si="0"/>
        <v/>
      </c>
      <c r="AA34" s="44" t="str">
        <f t="shared" si="1"/>
        <v/>
      </c>
      <c r="AB34" s="44" t="str">
        <f t="shared" si="2"/>
        <v/>
      </c>
      <c r="AC34" s="88" t="str">
        <f t="shared" si="3"/>
        <v/>
      </c>
      <c r="AD34" s="88" t="str">
        <f t="shared" si="4"/>
        <v/>
      </c>
      <c r="AE34" s="88" t="str">
        <f t="shared" si="5"/>
        <v/>
      </c>
      <c r="AF34" s="45" t="str">
        <f t="shared" si="6"/>
        <v/>
      </c>
      <c r="AG34" s="124" t="str">
        <f t="shared" si="7"/>
        <v/>
      </c>
      <c r="AH34" s="2"/>
      <c r="AI34" s="78"/>
      <c r="AJ34" s="73"/>
      <c r="AK34" s="73"/>
      <c r="AL34" s="73"/>
      <c r="AM34" s="230"/>
      <c r="AN34" s="231"/>
      <c r="AO34" s="232"/>
      <c r="AP34" s="230"/>
      <c r="AQ34" s="231"/>
      <c r="AR34" s="232"/>
    </row>
    <row r="35" spans="1:44" x14ac:dyDescent="0.25">
      <c r="A35" s="19">
        <v>24</v>
      </c>
      <c r="B35" s="36">
        <f>+'CORTE I '!B35</f>
        <v>0</v>
      </c>
      <c r="C35" s="36">
        <f>+'CORTE I '!C35</f>
        <v>0</v>
      </c>
      <c r="D35" s="153">
        <f>+'CORTE I '!D35</f>
        <v>0</v>
      </c>
      <c r="E35" s="35"/>
      <c r="F35" s="36"/>
      <c r="G35" s="37"/>
      <c r="H35" s="35"/>
      <c r="I35" s="36"/>
      <c r="J35" s="37"/>
      <c r="K35" s="35"/>
      <c r="L35" s="36"/>
      <c r="M35" s="89"/>
      <c r="N35" s="35"/>
      <c r="O35" s="84"/>
      <c r="P35" s="37"/>
      <c r="Q35" s="35"/>
      <c r="R35" s="84"/>
      <c r="S35" s="37"/>
      <c r="T35" s="35"/>
      <c r="U35" s="84"/>
      <c r="V35" s="37"/>
      <c r="W35" s="38"/>
      <c r="X35" s="37"/>
      <c r="Y35" s="59"/>
      <c r="Z35" s="35" t="str">
        <f t="shared" si="0"/>
        <v/>
      </c>
      <c r="AA35" s="36" t="str">
        <f t="shared" si="1"/>
        <v/>
      </c>
      <c r="AB35" s="36" t="str">
        <f t="shared" si="2"/>
        <v/>
      </c>
      <c r="AC35" s="102" t="str">
        <f t="shared" si="3"/>
        <v/>
      </c>
      <c r="AD35" s="102" t="str">
        <f t="shared" si="4"/>
        <v/>
      </c>
      <c r="AE35" s="102" t="str">
        <f t="shared" si="5"/>
        <v/>
      </c>
      <c r="AF35" s="37" t="str">
        <f t="shared" si="6"/>
        <v/>
      </c>
      <c r="AG35" s="124" t="str">
        <f t="shared" si="7"/>
        <v/>
      </c>
      <c r="AH35" s="2"/>
      <c r="AI35" s="78"/>
      <c r="AJ35" s="72"/>
      <c r="AK35" s="72"/>
      <c r="AL35" s="72"/>
      <c r="AM35" s="236"/>
      <c r="AN35" s="237"/>
      <c r="AO35" s="238"/>
      <c r="AP35" s="236"/>
      <c r="AQ35" s="237"/>
      <c r="AR35" s="238"/>
    </row>
    <row r="36" spans="1:44" x14ac:dyDescent="0.25">
      <c r="A36" s="107">
        <v>25</v>
      </c>
      <c r="B36" s="108">
        <f>+'CORTE I '!B36</f>
        <v>0</v>
      </c>
      <c r="C36" s="108">
        <f>+'CORTE I '!C36</f>
        <v>0</v>
      </c>
      <c r="D36" s="154">
        <f>+'CORTE I '!D36</f>
        <v>0</v>
      </c>
      <c r="E36" s="43"/>
      <c r="F36" s="44"/>
      <c r="G36" s="45"/>
      <c r="H36" s="43"/>
      <c r="I36" s="44"/>
      <c r="J36" s="45"/>
      <c r="K36" s="43"/>
      <c r="L36" s="44"/>
      <c r="M36" s="90"/>
      <c r="N36" s="43"/>
      <c r="O36" s="85"/>
      <c r="P36" s="45"/>
      <c r="Q36" s="43"/>
      <c r="R36" s="85"/>
      <c r="S36" s="45"/>
      <c r="T36" s="43"/>
      <c r="U36" s="85"/>
      <c r="V36" s="45"/>
      <c r="W36" s="46"/>
      <c r="X36" s="45"/>
      <c r="Y36" s="59"/>
      <c r="Z36" s="43" t="str">
        <f t="shared" si="0"/>
        <v/>
      </c>
      <c r="AA36" s="44" t="str">
        <f t="shared" si="1"/>
        <v/>
      </c>
      <c r="AB36" s="44" t="str">
        <f t="shared" si="2"/>
        <v/>
      </c>
      <c r="AC36" s="88" t="str">
        <f t="shared" si="3"/>
        <v/>
      </c>
      <c r="AD36" s="88" t="str">
        <f t="shared" si="4"/>
        <v/>
      </c>
      <c r="AE36" s="88" t="str">
        <f t="shared" si="5"/>
        <v/>
      </c>
      <c r="AF36" s="45" t="str">
        <f t="shared" si="6"/>
        <v/>
      </c>
      <c r="AG36" s="124" t="str">
        <f t="shared" si="7"/>
        <v/>
      </c>
      <c r="AH36" s="2"/>
      <c r="AI36" s="78"/>
      <c r="AJ36" s="73"/>
      <c r="AK36" s="73"/>
      <c r="AL36" s="73"/>
      <c r="AM36" s="230"/>
      <c r="AN36" s="231"/>
      <c r="AO36" s="232"/>
      <c r="AP36" s="230"/>
      <c r="AQ36" s="231"/>
      <c r="AR36" s="232"/>
    </row>
    <row r="37" spans="1:44" x14ac:dyDescent="0.25">
      <c r="A37" s="19">
        <v>26</v>
      </c>
      <c r="B37" s="36">
        <f>+'CORTE I '!B37</f>
        <v>0</v>
      </c>
      <c r="C37" s="36">
        <f>+'CORTE I '!C37</f>
        <v>0</v>
      </c>
      <c r="D37" s="153">
        <f>+'CORTE I '!D37</f>
        <v>0</v>
      </c>
      <c r="E37" s="35"/>
      <c r="F37" s="36"/>
      <c r="G37" s="37"/>
      <c r="H37" s="35"/>
      <c r="I37" s="36"/>
      <c r="J37" s="37"/>
      <c r="K37" s="35"/>
      <c r="L37" s="36"/>
      <c r="M37" s="89"/>
      <c r="N37" s="35"/>
      <c r="O37" s="84"/>
      <c r="P37" s="37"/>
      <c r="Q37" s="35"/>
      <c r="R37" s="84"/>
      <c r="S37" s="37"/>
      <c r="T37" s="35"/>
      <c r="U37" s="84"/>
      <c r="V37" s="37"/>
      <c r="W37" s="38"/>
      <c r="X37" s="37"/>
      <c r="Y37" s="59"/>
      <c r="Z37" s="35" t="str">
        <f t="shared" si="0"/>
        <v/>
      </c>
      <c r="AA37" s="36" t="str">
        <f t="shared" si="1"/>
        <v/>
      </c>
      <c r="AB37" s="36" t="str">
        <f t="shared" si="2"/>
        <v/>
      </c>
      <c r="AC37" s="102" t="str">
        <f t="shared" si="3"/>
        <v/>
      </c>
      <c r="AD37" s="102" t="str">
        <f t="shared" si="4"/>
        <v/>
      </c>
      <c r="AE37" s="102" t="str">
        <f t="shared" si="5"/>
        <v/>
      </c>
      <c r="AF37" s="37" t="str">
        <f t="shared" si="6"/>
        <v/>
      </c>
      <c r="AG37" s="124" t="str">
        <f t="shared" si="7"/>
        <v/>
      </c>
      <c r="AH37" s="2"/>
      <c r="AI37" s="78"/>
      <c r="AJ37" s="72"/>
      <c r="AK37" s="2"/>
      <c r="AL37" s="2"/>
      <c r="AM37" s="233"/>
      <c r="AN37" s="234"/>
      <c r="AO37" s="235"/>
      <c r="AP37" s="236"/>
      <c r="AQ37" s="237"/>
      <c r="AR37" s="238"/>
    </row>
    <row r="38" spans="1:44" x14ac:dyDescent="0.25">
      <c r="A38" s="107">
        <v>27</v>
      </c>
      <c r="B38" s="108">
        <f>+'CORTE I '!B38</f>
        <v>0</v>
      </c>
      <c r="C38" s="108">
        <f>+'CORTE I '!C38</f>
        <v>0</v>
      </c>
      <c r="D38" s="154">
        <f>+'CORTE I '!D38</f>
        <v>0</v>
      </c>
      <c r="E38" s="43"/>
      <c r="F38" s="44"/>
      <c r="G38" s="45"/>
      <c r="H38" s="43"/>
      <c r="I38" s="44"/>
      <c r="J38" s="45"/>
      <c r="K38" s="43"/>
      <c r="L38" s="44"/>
      <c r="M38" s="90"/>
      <c r="N38" s="43"/>
      <c r="O38" s="85"/>
      <c r="P38" s="45"/>
      <c r="Q38" s="43"/>
      <c r="R38" s="85"/>
      <c r="S38" s="45"/>
      <c r="T38" s="43"/>
      <c r="U38" s="85"/>
      <c r="V38" s="45"/>
      <c r="W38" s="46"/>
      <c r="X38" s="45"/>
      <c r="Y38" s="59"/>
      <c r="Z38" s="43" t="str">
        <f t="shared" si="0"/>
        <v/>
      </c>
      <c r="AA38" s="44" t="str">
        <f t="shared" si="1"/>
        <v/>
      </c>
      <c r="AB38" s="44" t="str">
        <f t="shared" si="2"/>
        <v/>
      </c>
      <c r="AC38" s="88" t="str">
        <f t="shared" si="3"/>
        <v/>
      </c>
      <c r="AD38" s="88" t="str">
        <f t="shared" si="4"/>
        <v/>
      </c>
      <c r="AE38" s="88" t="str">
        <f t="shared" si="5"/>
        <v/>
      </c>
      <c r="AF38" s="45" t="str">
        <f t="shared" si="6"/>
        <v/>
      </c>
      <c r="AG38" s="124" t="str">
        <f t="shared" si="7"/>
        <v/>
      </c>
      <c r="AH38" s="2"/>
      <c r="AI38" s="78"/>
      <c r="AJ38" s="73"/>
      <c r="AK38" s="76"/>
      <c r="AL38" s="76"/>
      <c r="AM38" s="227"/>
      <c r="AN38" s="228"/>
      <c r="AO38" s="229"/>
      <c r="AP38" s="230"/>
      <c r="AQ38" s="231"/>
      <c r="AR38" s="232"/>
    </row>
    <row r="39" spans="1:44" x14ac:dyDescent="0.25">
      <c r="A39" s="19">
        <v>28</v>
      </c>
      <c r="B39" s="36">
        <f>+'CORTE I '!B39</f>
        <v>0</v>
      </c>
      <c r="C39" s="36">
        <f>+'CORTE I '!C39</f>
        <v>0</v>
      </c>
      <c r="D39" s="153">
        <f>+'CORTE I '!D39</f>
        <v>0</v>
      </c>
      <c r="E39" s="35"/>
      <c r="F39" s="36"/>
      <c r="G39" s="37"/>
      <c r="H39" s="35"/>
      <c r="I39" s="36"/>
      <c r="J39" s="37"/>
      <c r="K39" s="35"/>
      <c r="L39" s="36"/>
      <c r="M39" s="89"/>
      <c r="N39" s="35"/>
      <c r="O39" s="84"/>
      <c r="P39" s="37"/>
      <c r="Q39" s="35"/>
      <c r="R39" s="84"/>
      <c r="S39" s="37"/>
      <c r="T39" s="35"/>
      <c r="U39" s="84"/>
      <c r="V39" s="37"/>
      <c r="W39" s="38"/>
      <c r="X39" s="37"/>
      <c r="Y39" s="59"/>
      <c r="Z39" s="35" t="str">
        <f t="shared" si="0"/>
        <v/>
      </c>
      <c r="AA39" s="36" t="str">
        <f t="shared" si="1"/>
        <v/>
      </c>
      <c r="AB39" s="36" t="str">
        <f t="shared" si="2"/>
        <v/>
      </c>
      <c r="AC39" s="102" t="str">
        <f t="shared" si="3"/>
        <v/>
      </c>
      <c r="AD39" s="102" t="str">
        <f t="shared" si="4"/>
        <v/>
      </c>
      <c r="AE39" s="102" t="str">
        <f t="shared" si="5"/>
        <v/>
      </c>
      <c r="AF39" s="37" t="str">
        <f t="shared" si="6"/>
        <v/>
      </c>
      <c r="AG39" s="124" t="str">
        <f t="shared" si="7"/>
        <v/>
      </c>
      <c r="AH39" s="2"/>
      <c r="AI39" s="78"/>
      <c r="AJ39" s="72"/>
      <c r="AK39" s="2"/>
      <c r="AL39" s="2"/>
      <c r="AM39" s="233"/>
      <c r="AN39" s="234"/>
      <c r="AO39" s="235"/>
      <c r="AP39" s="236"/>
      <c r="AQ39" s="237"/>
      <c r="AR39" s="238"/>
    </row>
    <row r="40" spans="1:44" x14ac:dyDescent="0.25">
      <c r="A40" s="107">
        <v>29</v>
      </c>
      <c r="B40" s="108">
        <f>+'CORTE I '!B40</f>
        <v>0</v>
      </c>
      <c r="C40" s="108">
        <f>+'CORTE I '!C40</f>
        <v>0</v>
      </c>
      <c r="D40" s="154">
        <f>+'CORTE I '!D40</f>
        <v>0</v>
      </c>
      <c r="E40" s="43"/>
      <c r="F40" s="44"/>
      <c r="G40" s="45"/>
      <c r="H40" s="43"/>
      <c r="I40" s="44"/>
      <c r="J40" s="45"/>
      <c r="K40" s="43"/>
      <c r="L40" s="44"/>
      <c r="M40" s="90"/>
      <c r="N40" s="43"/>
      <c r="O40" s="85"/>
      <c r="P40" s="45"/>
      <c r="Q40" s="43"/>
      <c r="R40" s="85"/>
      <c r="S40" s="45"/>
      <c r="T40" s="43"/>
      <c r="U40" s="85"/>
      <c r="V40" s="45"/>
      <c r="W40" s="46"/>
      <c r="X40" s="45"/>
      <c r="Y40" s="59"/>
      <c r="Z40" s="43" t="str">
        <f t="shared" si="0"/>
        <v/>
      </c>
      <c r="AA40" s="44" t="str">
        <f t="shared" si="1"/>
        <v/>
      </c>
      <c r="AB40" s="44" t="str">
        <f t="shared" si="2"/>
        <v/>
      </c>
      <c r="AC40" s="88" t="str">
        <f t="shared" si="3"/>
        <v/>
      </c>
      <c r="AD40" s="88" t="str">
        <f t="shared" si="4"/>
        <v/>
      </c>
      <c r="AE40" s="88" t="str">
        <f t="shared" si="5"/>
        <v/>
      </c>
      <c r="AF40" s="45" t="str">
        <f t="shared" si="6"/>
        <v/>
      </c>
      <c r="AG40" s="124" t="str">
        <f t="shared" si="7"/>
        <v/>
      </c>
      <c r="AH40" s="2"/>
      <c r="AI40" s="78"/>
      <c r="AJ40" s="73"/>
      <c r="AK40" s="76"/>
      <c r="AL40" s="76"/>
      <c r="AM40" s="227"/>
      <c r="AN40" s="228"/>
      <c r="AO40" s="229"/>
      <c r="AP40" s="230"/>
      <c r="AQ40" s="231"/>
      <c r="AR40" s="232"/>
    </row>
    <row r="41" spans="1:44" x14ac:dyDescent="0.25">
      <c r="A41" s="19">
        <v>30</v>
      </c>
      <c r="B41" s="36">
        <f>+'CORTE I '!B41</f>
        <v>0</v>
      </c>
      <c r="C41" s="36">
        <f>+'CORTE I '!C41</f>
        <v>0</v>
      </c>
      <c r="D41" s="153">
        <f>+'CORTE I '!D41</f>
        <v>0</v>
      </c>
      <c r="E41" s="35"/>
      <c r="F41" s="36"/>
      <c r="G41" s="37"/>
      <c r="H41" s="35"/>
      <c r="I41" s="36"/>
      <c r="J41" s="37"/>
      <c r="K41" s="35"/>
      <c r="L41" s="36"/>
      <c r="M41" s="89"/>
      <c r="N41" s="35"/>
      <c r="O41" s="84"/>
      <c r="P41" s="37"/>
      <c r="Q41" s="35"/>
      <c r="R41" s="84"/>
      <c r="S41" s="37"/>
      <c r="T41" s="35"/>
      <c r="U41" s="84"/>
      <c r="V41" s="37"/>
      <c r="W41" s="38"/>
      <c r="X41" s="37"/>
      <c r="Y41" s="59"/>
      <c r="Z41" s="35" t="str">
        <f t="shared" si="0"/>
        <v/>
      </c>
      <c r="AA41" s="36" t="str">
        <f t="shared" si="1"/>
        <v/>
      </c>
      <c r="AB41" s="36" t="str">
        <f t="shared" si="2"/>
        <v/>
      </c>
      <c r="AC41" s="102" t="str">
        <f t="shared" si="3"/>
        <v/>
      </c>
      <c r="AD41" s="102" t="str">
        <f t="shared" si="4"/>
        <v/>
      </c>
      <c r="AE41" s="102" t="str">
        <f t="shared" si="5"/>
        <v/>
      </c>
      <c r="AF41" s="37" t="str">
        <f t="shared" si="6"/>
        <v/>
      </c>
      <c r="AG41" s="124" t="str">
        <f t="shared" si="7"/>
        <v/>
      </c>
      <c r="AH41" s="2"/>
      <c r="AI41" s="78"/>
      <c r="AJ41" s="72"/>
      <c r="AK41" s="2"/>
      <c r="AL41" s="2"/>
      <c r="AM41" s="233"/>
      <c r="AN41" s="234"/>
      <c r="AO41" s="235"/>
      <c r="AP41" s="236"/>
      <c r="AQ41" s="237"/>
      <c r="AR41" s="238"/>
    </row>
    <row r="42" spans="1:44" x14ac:dyDescent="0.25">
      <c r="A42" s="107">
        <v>31</v>
      </c>
      <c r="B42" s="108">
        <f>+'CORTE I '!B42</f>
        <v>0</v>
      </c>
      <c r="C42" s="108">
        <f>+'CORTE I '!C42</f>
        <v>0</v>
      </c>
      <c r="D42" s="154">
        <f>+'CORTE I '!D42</f>
        <v>0</v>
      </c>
      <c r="E42" s="43"/>
      <c r="F42" s="44"/>
      <c r="G42" s="45"/>
      <c r="H42" s="43"/>
      <c r="I42" s="44"/>
      <c r="J42" s="45"/>
      <c r="K42" s="43"/>
      <c r="L42" s="44"/>
      <c r="M42" s="90"/>
      <c r="N42" s="43"/>
      <c r="O42" s="85"/>
      <c r="P42" s="45"/>
      <c r="Q42" s="43"/>
      <c r="R42" s="85"/>
      <c r="S42" s="45"/>
      <c r="T42" s="43"/>
      <c r="U42" s="85"/>
      <c r="V42" s="45"/>
      <c r="W42" s="46"/>
      <c r="X42" s="45"/>
      <c r="Y42" s="59"/>
      <c r="Z42" s="43" t="str">
        <f t="shared" si="0"/>
        <v/>
      </c>
      <c r="AA42" s="44" t="str">
        <f t="shared" si="1"/>
        <v/>
      </c>
      <c r="AB42" s="44" t="str">
        <f t="shared" si="2"/>
        <v/>
      </c>
      <c r="AC42" s="88" t="str">
        <f t="shared" si="3"/>
        <v/>
      </c>
      <c r="AD42" s="88" t="str">
        <f t="shared" si="4"/>
        <v/>
      </c>
      <c r="AE42" s="88" t="str">
        <f t="shared" si="5"/>
        <v/>
      </c>
      <c r="AF42" s="45" t="str">
        <f t="shared" si="6"/>
        <v/>
      </c>
      <c r="AG42" s="124" t="str">
        <f t="shared" si="7"/>
        <v/>
      </c>
      <c r="AH42" s="2"/>
      <c r="AI42" s="78"/>
      <c r="AJ42" s="128"/>
      <c r="AK42" s="76"/>
      <c r="AL42" s="76"/>
      <c r="AM42" s="227"/>
      <c r="AN42" s="228"/>
      <c r="AO42" s="229"/>
      <c r="AP42" s="230"/>
      <c r="AQ42" s="231"/>
      <c r="AR42" s="232"/>
    </row>
    <row r="43" spans="1:44" x14ac:dyDescent="0.25">
      <c r="A43" s="19">
        <v>32</v>
      </c>
      <c r="B43" s="36">
        <f>+'CORTE I '!B43</f>
        <v>0</v>
      </c>
      <c r="C43" s="36">
        <f>+'CORTE I '!C43</f>
        <v>0</v>
      </c>
      <c r="D43" s="153">
        <f>+'CORTE I '!D43</f>
        <v>0</v>
      </c>
      <c r="E43" s="35"/>
      <c r="F43" s="36"/>
      <c r="G43" s="37"/>
      <c r="H43" s="35"/>
      <c r="I43" s="36"/>
      <c r="J43" s="37"/>
      <c r="K43" s="35"/>
      <c r="L43" s="36"/>
      <c r="M43" s="89"/>
      <c r="N43" s="35"/>
      <c r="O43" s="84"/>
      <c r="P43" s="37"/>
      <c r="Q43" s="35"/>
      <c r="R43" s="84"/>
      <c r="S43" s="37"/>
      <c r="T43" s="35"/>
      <c r="U43" s="84"/>
      <c r="V43" s="37"/>
      <c r="W43" s="38"/>
      <c r="X43" s="37"/>
      <c r="Y43" s="59"/>
      <c r="Z43" s="35" t="str">
        <f t="shared" si="0"/>
        <v/>
      </c>
      <c r="AA43" s="36" t="str">
        <f t="shared" si="1"/>
        <v/>
      </c>
      <c r="AB43" s="36" t="str">
        <f t="shared" si="2"/>
        <v/>
      </c>
      <c r="AC43" s="102" t="str">
        <f t="shared" si="3"/>
        <v/>
      </c>
      <c r="AD43" s="102" t="str">
        <f t="shared" si="4"/>
        <v/>
      </c>
      <c r="AE43" s="102" t="str">
        <f t="shared" si="5"/>
        <v/>
      </c>
      <c r="AF43" s="37" t="str">
        <f t="shared" si="6"/>
        <v/>
      </c>
      <c r="AG43" s="124" t="str">
        <f t="shared" si="7"/>
        <v/>
      </c>
      <c r="AH43" s="2"/>
      <c r="AI43" s="78"/>
      <c r="AJ43" s="129"/>
      <c r="AK43" s="2"/>
      <c r="AL43" s="2"/>
      <c r="AM43" s="233"/>
      <c r="AN43" s="234"/>
      <c r="AO43" s="235"/>
      <c r="AP43" s="236"/>
      <c r="AQ43" s="237"/>
      <c r="AR43" s="238"/>
    </row>
    <row r="44" spans="1:44" x14ac:dyDescent="0.25">
      <c r="A44" s="107">
        <v>33</v>
      </c>
      <c r="B44" s="108">
        <f>+'CORTE I '!B44</f>
        <v>0</v>
      </c>
      <c r="C44" s="108">
        <f>+'CORTE I '!C44</f>
        <v>0</v>
      </c>
      <c r="D44" s="154">
        <f>+'CORTE I '!D44</f>
        <v>0</v>
      </c>
      <c r="E44" s="43"/>
      <c r="F44" s="44"/>
      <c r="G44" s="45"/>
      <c r="H44" s="43"/>
      <c r="I44" s="44"/>
      <c r="J44" s="45"/>
      <c r="K44" s="43"/>
      <c r="L44" s="44"/>
      <c r="M44" s="90"/>
      <c r="N44" s="43"/>
      <c r="O44" s="85"/>
      <c r="P44" s="45"/>
      <c r="Q44" s="43"/>
      <c r="R44" s="85"/>
      <c r="S44" s="45"/>
      <c r="T44" s="43"/>
      <c r="U44" s="85"/>
      <c r="V44" s="45"/>
      <c r="W44" s="46"/>
      <c r="X44" s="45"/>
      <c r="Y44" s="59"/>
      <c r="Z44" s="43" t="str">
        <f t="shared" si="0"/>
        <v/>
      </c>
      <c r="AA44" s="44" t="str">
        <f t="shared" si="1"/>
        <v/>
      </c>
      <c r="AB44" s="44" t="str">
        <f t="shared" si="2"/>
        <v/>
      </c>
      <c r="AC44" s="101" t="str">
        <f t="shared" si="3"/>
        <v/>
      </c>
      <c r="AD44" s="101" t="str">
        <f t="shared" si="4"/>
        <v/>
      </c>
      <c r="AE44" s="101" t="str">
        <f t="shared" si="5"/>
        <v/>
      </c>
      <c r="AF44" s="45" t="str">
        <f t="shared" si="6"/>
        <v/>
      </c>
      <c r="AG44" s="124" t="str">
        <f t="shared" si="7"/>
        <v/>
      </c>
      <c r="AH44" s="2"/>
      <c r="AI44" s="78"/>
      <c r="AJ44" s="128"/>
      <c r="AK44" s="76"/>
      <c r="AL44" s="76"/>
      <c r="AM44" s="227"/>
      <c r="AN44" s="228"/>
      <c r="AO44" s="229"/>
      <c r="AP44" s="230"/>
      <c r="AQ44" s="231"/>
      <c r="AR44" s="232"/>
    </row>
    <row r="45" spans="1:44" x14ac:dyDescent="0.25">
      <c r="A45" s="19">
        <v>34</v>
      </c>
      <c r="B45" s="36">
        <f>+'CORTE I '!B45</f>
        <v>0</v>
      </c>
      <c r="C45" s="36">
        <f>+'CORTE I '!C45</f>
        <v>0</v>
      </c>
      <c r="D45" s="153">
        <f>+'CORTE I '!D45</f>
        <v>0</v>
      </c>
      <c r="E45" s="35"/>
      <c r="F45" s="36"/>
      <c r="G45" s="37"/>
      <c r="H45" s="35"/>
      <c r="I45" s="36"/>
      <c r="J45" s="37"/>
      <c r="K45" s="35"/>
      <c r="L45" s="36"/>
      <c r="M45" s="89"/>
      <c r="N45" s="35"/>
      <c r="O45" s="84"/>
      <c r="P45" s="37"/>
      <c r="Q45" s="35"/>
      <c r="R45" s="84"/>
      <c r="S45" s="37"/>
      <c r="T45" s="35"/>
      <c r="U45" s="84"/>
      <c r="V45" s="37"/>
      <c r="W45" s="38"/>
      <c r="X45" s="37"/>
      <c r="Y45" s="59"/>
      <c r="Z45" s="35" t="str">
        <f t="shared" si="0"/>
        <v/>
      </c>
      <c r="AA45" s="36" t="str">
        <f t="shared" si="1"/>
        <v/>
      </c>
      <c r="AB45" s="36" t="str">
        <f t="shared" si="2"/>
        <v/>
      </c>
      <c r="AC45" s="102" t="str">
        <f t="shared" si="3"/>
        <v/>
      </c>
      <c r="AD45" s="102" t="str">
        <f t="shared" si="4"/>
        <v/>
      </c>
      <c r="AE45" s="102" t="str">
        <f t="shared" si="5"/>
        <v/>
      </c>
      <c r="AF45" s="37" t="str">
        <f t="shared" si="6"/>
        <v/>
      </c>
      <c r="AG45" s="124" t="str">
        <f t="shared" si="7"/>
        <v/>
      </c>
      <c r="AH45" s="2"/>
      <c r="AI45" s="78"/>
      <c r="AJ45" s="129"/>
      <c r="AK45" s="2"/>
      <c r="AL45" s="2"/>
      <c r="AM45" s="233"/>
      <c r="AN45" s="234"/>
      <c r="AO45" s="235"/>
      <c r="AP45" s="236"/>
      <c r="AQ45" s="237"/>
      <c r="AR45" s="238"/>
    </row>
    <row r="46" spans="1:44" x14ac:dyDescent="0.25">
      <c r="A46" s="107">
        <v>35</v>
      </c>
      <c r="B46" s="108">
        <f>+'CORTE I '!B46</f>
        <v>0</v>
      </c>
      <c r="C46" s="108">
        <f>+'CORTE I '!C46</f>
        <v>0</v>
      </c>
      <c r="D46" s="154">
        <f>+'CORTE I '!D46</f>
        <v>0</v>
      </c>
      <c r="E46" s="43"/>
      <c r="F46" s="44"/>
      <c r="G46" s="45"/>
      <c r="H46" s="43"/>
      <c r="I46" s="44"/>
      <c r="J46" s="45"/>
      <c r="K46" s="43"/>
      <c r="L46" s="44"/>
      <c r="M46" s="90"/>
      <c r="N46" s="43"/>
      <c r="O46" s="85"/>
      <c r="P46" s="45"/>
      <c r="Q46" s="43"/>
      <c r="R46" s="85"/>
      <c r="S46" s="45"/>
      <c r="T46" s="43"/>
      <c r="U46" s="85"/>
      <c r="V46" s="45"/>
      <c r="W46" s="46"/>
      <c r="X46" s="45"/>
      <c r="Y46" s="59"/>
      <c r="Z46" s="43" t="str">
        <f t="shared" si="0"/>
        <v/>
      </c>
      <c r="AA46" s="44" t="str">
        <f t="shared" si="1"/>
        <v/>
      </c>
      <c r="AB46" s="44" t="str">
        <f t="shared" si="2"/>
        <v/>
      </c>
      <c r="AC46" s="101" t="str">
        <f t="shared" si="3"/>
        <v/>
      </c>
      <c r="AD46" s="101" t="str">
        <f t="shared" si="4"/>
        <v/>
      </c>
      <c r="AE46" s="101" t="str">
        <f t="shared" si="5"/>
        <v/>
      </c>
      <c r="AF46" s="45" t="str">
        <f t="shared" si="6"/>
        <v/>
      </c>
      <c r="AG46" s="124" t="str">
        <f t="shared" si="7"/>
        <v/>
      </c>
      <c r="AH46" s="2"/>
      <c r="AI46" s="78"/>
      <c r="AJ46" s="128"/>
      <c r="AK46" s="76"/>
      <c r="AL46" s="76"/>
      <c r="AM46" s="227"/>
      <c r="AN46" s="228"/>
      <c r="AO46" s="229"/>
      <c r="AP46" s="230"/>
      <c r="AQ46" s="231"/>
      <c r="AR46" s="232"/>
    </row>
    <row r="47" spans="1:44" x14ac:dyDescent="0.25">
      <c r="A47" s="19">
        <v>36</v>
      </c>
      <c r="B47" s="36">
        <f>+'CORTE I '!B47</f>
        <v>0</v>
      </c>
      <c r="C47" s="36">
        <f>+'CORTE I '!C47</f>
        <v>0</v>
      </c>
      <c r="D47" s="153">
        <f>+'CORTE I '!D47</f>
        <v>0</v>
      </c>
      <c r="E47" s="35"/>
      <c r="F47" s="36"/>
      <c r="G47" s="37"/>
      <c r="H47" s="35"/>
      <c r="I47" s="36"/>
      <c r="J47" s="37"/>
      <c r="K47" s="35"/>
      <c r="L47" s="36"/>
      <c r="M47" s="89"/>
      <c r="N47" s="35"/>
      <c r="O47" s="84"/>
      <c r="P47" s="37"/>
      <c r="Q47" s="35"/>
      <c r="R47" s="84"/>
      <c r="S47" s="37"/>
      <c r="T47" s="35"/>
      <c r="U47" s="84"/>
      <c r="V47" s="37"/>
      <c r="W47" s="38"/>
      <c r="X47" s="37"/>
      <c r="Y47" s="59"/>
      <c r="Z47" s="35" t="str">
        <f t="shared" si="0"/>
        <v/>
      </c>
      <c r="AA47" s="36" t="str">
        <f t="shared" si="1"/>
        <v/>
      </c>
      <c r="AB47" s="36" t="str">
        <f t="shared" si="2"/>
        <v/>
      </c>
      <c r="AC47" s="102" t="str">
        <f t="shared" si="3"/>
        <v/>
      </c>
      <c r="AD47" s="102" t="str">
        <f t="shared" si="4"/>
        <v/>
      </c>
      <c r="AE47" s="102" t="str">
        <f t="shared" si="5"/>
        <v/>
      </c>
      <c r="AF47" s="37" t="str">
        <f t="shared" si="6"/>
        <v/>
      </c>
      <c r="AG47" s="124" t="str">
        <f t="shared" si="7"/>
        <v/>
      </c>
      <c r="AH47" s="2"/>
      <c r="AI47" s="78"/>
      <c r="AJ47" s="129"/>
      <c r="AK47" s="2"/>
      <c r="AL47" s="2"/>
      <c r="AM47" s="233"/>
      <c r="AN47" s="234"/>
      <c r="AO47" s="235"/>
      <c r="AP47" s="236"/>
      <c r="AQ47" s="237"/>
      <c r="AR47" s="238"/>
    </row>
    <row r="48" spans="1:44" x14ac:dyDescent="0.25">
      <c r="A48" s="107">
        <v>37</v>
      </c>
      <c r="B48" s="108">
        <f>+'CORTE I '!B48</f>
        <v>0</v>
      </c>
      <c r="C48" s="108">
        <f>+'CORTE I '!C48</f>
        <v>0</v>
      </c>
      <c r="D48" s="154">
        <f>+'CORTE I '!D48</f>
        <v>0</v>
      </c>
      <c r="E48" s="43"/>
      <c r="F48" s="44"/>
      <c r="G48" s="45"/>
      <c r="H48" s="43"/>
      <c r="I48" s="44"/>
      <c r="J48" s="45"/>
      <c r="K48" s="43"/>
      <c r="L48" s="44"/>
      <c r="M48" s="90"/>
      <c r="N48" s="43"/>
      <c r="O48" s="85"/>
      <c r="P48" s="45"/>
      <c r="Q48" s="43"/>
      <c r="R48" s="85"/>
      <c r="S48" s="45"/>
      <c r="T48" s="43"/>
      <c r="U48" s="85"/>
      <c r="V48" s="45"/>
      <c r="W48" s="46"/>
      <c r="X48" s="45"/>
      <c r="Y48" s="59"/>
      <c r="Z48" s="43" t="str">
        <f t="shared" si="0"/>
        <v/>
      </c>
      <c r="AA48" s="44" t="str">
        <f t="shared" si="1"/>
        <v/>
      </c>
      <c r="AB48" s="44" t="str">
        <f t="shared" si="2"/>
        <v/>
      </c>
      <c r="AC48" s="101" t="str">
        <f t="shared" si="3"/>
        <v/>
      </c>
      <c r="AD48" s="101" t="str">
        <f t="shared" si="4"/>
        <v/>
      </c>
      <c r="AE48" s="101" t="str">
        <f t="shared" si="5"/>
        <v/>
      </c>
      <c r="AF48" s="45" t="str">
        <f t="shared" si="6"/>
        <v/>
      </c>
      <c r="AG48" s="124" t="str">
        <f t="shared" si="7"/>
        <v/>
      </c>
      <c r="AH48" s="2"/>
      <c r="AI48" s="78"/>
      <c r="AJ48" s="128"/>
      <c r="AK48" s="76"/>
      <c r="AL48" s="76"/>
      <c r="AM48" s="227"/>
      <c r="AN48" s="228"/>
      <c r="AO48" s="229"/>
      <c r="AP48" s="230"/>
      <c r="AQ48" s="231"/>
      <c r="AR48" s="232"/>
    </row>
    <row r="49" spans="1:44" x14ac:dyDescent="0.25">
      <c r="A49" s="19">
        <v>38</v>
      </c>
      <c r="B49" s="36">
        <f>+'CORTE I '!B49</f>
        <v>0</v>
      </c>
      <c r="C49" s="36">
        <f>+'CORTE I '!C49</f>
        <v>0</v>
      </c>
      <c r="D49" s="153">
        <f>+'CORTE I '!D49</f>
        <v>0</v>
      </c>
      <c r="E49" s="35"/>
      <c r="F49" s="36"/>
      <c r="G49" s="37"/>
      <c r="H49" s="35"/>
      <c r="I49" s="36"/>
      <c r="J49" s="37"/>
      <c r="K49" s="35"/>
      <c r="L49" s="36"/>
      <c r="M49" s="89"/>
      <c r="N49" s="35"/>
      <c r="O49" s="84"/>
      <c r="P49" s="37"/>
      <c r="Q49" s="35"/>
      <c r="R49" s="84"/>
      <c r="S49" s="37"/>
      <c r="T49" s="35"/>
      <c r="U49" s="84"/>
      <c r="V49" s="37"/>
      <c r="W49" s="38"/>
      <c r="X49" s="37"/>
      <c r="Y49" s="59"/>
      <c r="Z49" s="35" t="str">
        <f t="shared" si="0"/>
        <v/>
      </c>
      <c r="AA49" s="36" t="str">
        <f t="shared" si="1"/>
        <v/>
      </c>
      <c r="AB49" s="36" t="str">
        <f t="shared" si="2"/>
        <v/>
      </c>
      <c r="AC49" s="102" t="str">
        <f t="shared" si="3"/>
        <v/>
      </c>
      <c r="AD49" s="102" t="str">
        <f t="shared" si="4"/>
        <v/>
      </c>
      <c r="AE49" s="102" t="str">
        <f t="shared" si="5"/>
        <v/>
      </c>
      <c r="AF49" s="37" t="str">
        <f t="shared" si="6"/>
        <v/>
      </c>
      <c r="AG49" s="124" t="str">
        <f t="shared" si="7"/>
        <v/>
      </c>
      <c r="AH49" s="2"/>
      <c r="AI49" s="78"/>
      <c r="AJ49" s="129"/>
      <c r="AK49" s="2"/>
      <c r="AL49" s="2"/>
      <c r="AM49" s="233"/>
      <c r="AN49" s="234"/>
      <c r="AO49" s="235"/>
      <c r="AP49" s="236"/>
      <c r="AQ49" s="237"/>
      <c r="AR49" s="238"/>
    </row>
    <row r="50" spans="1:44" x14ac:dyDescent="0.25">
      <c r="A50" s="107">
        <v>39</v>
      </c>
      <c r="B50" s="108">
        <f>+'CORTE I '!B50</f>
        <v>0</v>
      </c>
      <c r="C50" s="108">
        <f>+'CORTE I '!C50</f>
        <v>0</v>
      </c>
      <c r="D50" s="154">
        <f>+'CORTE I '!D50</f>
        <v>0</v>
      </c>
      <c r="E50" s="43"/>
      <c r="F50" s="44"/>
      <c r="G50" s="45"/>
      <c r="H50" s="43"/>
      <c r="I50" s="44"/>
      <c r="J50" s="45"/>
      <c r="K50" s="43"/>
      <c r="L50" s="44"/>
      <c r="M50" s="90"/>
      <c r="N50" s="43"/>
      <c r="O50" s="85"/>
      <c r="P50" s="45"/>
      <c r="Q50" s="43"/>
      <c r="R50" s="85"/>
      <c r="S50" s="45"/>
      <c r="T50" s="43"/>
      <c r="U50" s="85"/>
      <c r="V50" s="45"/>
      <c r="W50" s="46"/>
      <c r="X50" s="45"/>
      <c r="Y50" s="59"/>
      <c r="Z50" s="43" t="str">
        <f t="shared" si="0"/>
        <v/>
      </c>
      <c r="AA50" s="44" t="str">
        <f t="shared" si="1"/>
        <v/>
      </c>
      <c r="AB50" s="44" t="str">
        <f t="shared" si="2"/>
        <v/>
      </c>
      <c r="AC50" s="101" t="str">
        <f t="shared" si="3"/>
        <v/>
      </c>
      <c r="AD50" s="101" t="str">
        <f t="shared" si="4"/>
        <v/>
      </c>
      <c r="AE50" s="101" t="str">
        <f t="shared" si="5"/>
        <v/>
      </c>
      <c r="AF50" s="45" t="str">
        <f t="shared" si="6"/>
        <v/>
      </c>
      <c r="AG50" s="124" t="str">
        <f t="shared" si="7"/>
        <v/>
      </c>
      <c r="AH50" s="2"/>
      <c r="AI50" s="78"/>
      <c r="AJ50" s="128"/>
      <c r="AK50" s="76"/>
      <c r="AL50" s="76"/>
      <c r="AM50" s="227"/>
      <c r="AN50" s="228"/>
      <c r="AO50" s="229"/>
      <c r="AP50" s="230"/>
      <c r="AQ50" s="231"/>
      <c r="AR50" s="232"/>
    </row>
    <row r="51" spans="1:44" x14ac:dyDescent="0.25">
      <c r="A51" s="19">
        <v>40</v>
      </c>
      <c r="B51" s="36">
        <f>+'CORTE I '!B51</f>
        <v>0</v>
      </c>
      <c r="C51" s="36">
        <f>+'CORTE I '!C51</f>
        <v>0</v>
      </c>
      <c r="D51" s="153">
        <f>+'CORTE I '!D51</f>
        <v>0</v>
      </c>
      <c r="E51" s="35"/>
      <c r="F51" s="36"/>
      <c r="G51" s="37"/>
      <c r="H51" s="35"/>
      <c r="I51" s="36"/>
      <c r="J51" s="37"/>
      <c r="K51" s="35"/>
      <c r="L51" s="36"/>
      <c r="M51" s="89"/>
      <c r="N51" s="35"/>
      <c r="O51" s="84"/>
      <c r="P51" s="37"/>
      <c r="Q51" s="35"/>
      <c r="R51" s="84"/>
      <c r="S51" s="37"/>
      <c r="T51" s="35"/>
      <c r="U51" s="84"/>
      <c r="V51" s="37"/>
      <c r="W51" s="38"/>
      <c r="X51" s="37"/>
      <c r="Y51" s="59"/>
      <c r="Z51" s="35" t="str">
        <f t="shared" si="0"/>
        <v/>
      </c>
      <c r="AA51" s="36" t="str">
        <f t="shared" si="1"/>
        <v/>
      </c>
      <c r="AB51" s="36" t="str">
        <f t="shared" si="2"/>
        <v/>
      </c>
      <c r="AC51" s="102" t="str">
        <f t="shared" si="3"/>
        <v/>
      </c>
      <c r="AD51" s="102" t="str">
        <f t="shared" si="4"/>
        <v/>
      </c>
      <c r="AE51" s="102" t="str">
        <f t="shared" si="5"/>
        <v/>
      </c>
      <c r="AF51" s="37" t="str">
        <f t="shared" si="6"/>
        <v/>
      </c>
      <c r="AG51" s="124" t="str">
        <f t="shared" si="7"/>
        <v/>
      </c>
      <c r="AH51" s="2"/>
      <c r="AI51" s="78"/>
      <c r="AJ51" s="129"/>
      <c r="AK51" s="2"/>
      <c r="AL51" s="2"/>
      <c r="AM51" s="233"/>
      <c r="AN51" s="234"/>
      <c r="AO51" s="235"/>
      <c r="AP51" s="236"/>
      <c r="AQ51" s="237"/>
      <c r="AR51" s="238"/>
    </row>
    <row r="52" spans="1:44" x14ac:dyDescent="0.25">
      <c r="A52" s="107">
        <v>41</v>
      </c>
      <c r="B52" s="108">
        <f>+'CORTE I '!B52</f>
        <v>0</v>
      </c>
      <c r="C52" s="108">
        <f>+'CORTE I '!C52</f>
        <v>0</v>
      </c>
      <c r="D52" s="154">
        <f>+'CORTE I '!D52</f>
        <v>0</v>
      </c>
      <c r="E52" s="43"/>
      <c r="F52" s="44"/>
      <c r="G52" s="45"/>
      <c r="H52" s="43"/>
      <c r="I52" s="44"/>
      <c r="J52" s="45"/>
      <c r="K52" s="43"/>
      <c r="L52" s="44"/>
      <c r="M52" s="90"/>
      <c r="N52" s="43"/>
      <c r="O52" s="85"/>
      <c r="P52" s="45"/>
      <c r="Q52" s="43"/>
      <c r="R52" s="85"/>
      <c r="S52" s="45"/>
      <c r="T52" s="43"/>
      <c r="U52" s="85"/>
      <c r="V52" s="45"/>
      <c r="W52" s="46"/>
      <c r="X52" s="45"/>
      <c r="Y52" s="59"/>
      <c r="Z52" s="43" t="str">
        <f t="shared" si="0"/>
        <v/>
      </c>
      <c r="AA52" s="44" t="str">
        <f t="shared" si="1"/>
        <v/>
      </c>
      <c r="AB52" s="44" t="str">
        <f t="shared" si="2"/>
        <v/>
      </c>
      <c r="AC52" s="101" t="str">
        <f t="shared" si="3"/>
        <v/>
      </c>
      <c r="AD52" s="101" t="str">
        <f t="shared" si="4"/>
        <v/>
      </c>
      <c r="AE52" s="101" t="str">
        <f t="shared" si="5"/>
        <v/>
      </c>
      <c r="AF52" s="45" t="str">
        <f t="shared" si="6"/>
        <v/>
      </c>
      <c r="AG52" s="124" t="str">
        <f t="shared" si="7"/>
        <v/>
      </c>
      <c r="AH52" s="2"/>
      <c r="AI52" s="78"/>
      <c r="AJ52" s="128"/>
      <c r="AK52" s="76"/>
      <c r="AL52" s="76"/>
      <c r="AM52" s="227"/>
      <c r="AN52" s="228"/>
      <c r="AO52" s="229"/>
      <c r="AP52" s="230"/>
      <c r="AQ52" s="231"/>
      <c r="AR52" s="232"/>
    </row>
    <row r="53" spans="1:44" x14ac:dyDescent="0.25">
      <c r="A53" s="19">
        <v>42</v>
      </c>
      <c r="B53" s="36">
        <f>+'CORTE I '!B53</f>
        <v>0</v>
      </c>
      <c r="C53" s="36">
        <f>+'CORTE I '!C53</f>
        <v>0</v>
      </c>
      <c r="D53" s="153">
        <f>+'CORTE I '!D53</f>
        <v>0</v>
      </c>
      <c r="E53" s="35"/>
      <c r="F53" s="36"/>
      <c r="G53" s="37"/>
      <c r="H53" s="35"/>
      <c r="I53" s="36"/>
      <c r="J53" s="37"/>
      <c r="K53" s="35"/>
      <c r="L53" s="36"/>
      <c r="M53" s="89"/>
      <c r="N53" s="35"/>
      <c r="O53" s="84"/>
      <c r="P53" s="37"/>
      <c r="Q53" s="35"/>
      <c r="R53" s="84"/>
      <c r="S53" s="37"/>
      <c r="T53" s="35"/>
      <c r="U53" s="84"/>
      <c r="V53" s="37"/>
      <c r="W53" s="38"/>
      <c r="X53" s="37"/>
      <c r="Y53" s="59"/>
      <c r="Z53" s="35" t="str">
        <f t="shared" si="0"/>
        <v/>
      </c>
      <c r="AA53" s="36" t="str">
        <f t="shared" si="1"/>
        <v/>
      </c>
      <c r="AB53" s="36" t="str">
        <f t="shared" si="2"/>
        <v/>
      </c>
      <c r="AC53" s="102" t="str">
        <f t="shared" si="3"/>
        <v/>
      </c>
      <c r="AD53" s="102" t="str">
        <f t="shared" si="4"/>
        <v/>
      </c>
      <c r="AE53" s="102" t="str">
        <f t="shared" si="5"/>
        <v/>
      </c>
      <c r="AF53" s="37" t="str">
        <f t="shared" si="6"/>
        <v/>
      </c>
      <c r="AG53" s="124" t="str">
        <f t="shared" si="7"/>
        <v/>
      </c>
      <c r="AH53" s="2"/>
      <c r="AI53" s="78"/>
      <c r="AJ53" s="129"/>
      <c r="AK53" s="2"/>
      <c r="AL53" s="2"/>
      <c r="AM53" s="233"/>
      <c r="AN53" s="234"/>
      <c r="AO53" s="235"/>
      <c r="AP53" s="236"/>
      <c r="AQ53" s="237"/>
      <c r="AR53" s="238"/>
    </row>
    <row r="54" spans="1:44" x14ac:dyDescent="0.25">
      <c r="A54" s="107">
        <v>43</v>
      </c>
      <c r="B54" s="108">
        <f>+'CORTE I '!B54</f>
        <v>0</v>
      </c>
      <c r="C54" s="108">
        <f>+'CORTE I '!C54</f>
        <v>0</v>
      </c>
      <c r="D54" s="154">
        <f>+'CORTE I '!D54</f>
        <v>0</v>
      </c>
      <c r="E54" s="43"/>
      <c r="F54" s="44"/>
      <c r="G54" s="45"/>
      <c r="H54" s="43"/>
      <c r="I54" s="44"/>
      <c r="J54" s="45"/>
      <c r="K54" s="43"/>
      <c r="L54" s="44"/>
      <c r="M54" s="90"/>
      <c r="N54" s="43"/>
      <c r="O54" s="85"/>
      <c r="P54" s="45"/>
      <c r="Q54" s="43"/>
      <c r="R54" s="85"/>
      <c r="S54" s="45"/>
      <c r="T54" s="43"/>
      <c r="U54" s="85"/>
      <c r="V54" s="45"/>
      <c r="W54" s="46"/>
      <c r="X54" s="45"/>
      <c r="Y54" s="59"/>
      <c r="Z54" s="43" t="str">
        <f t="shared" si="0"/>
        <v/>
      </c>
      <c r="AA54" s="44" t="str">
        <f t="shared" si="1"/>
        <v/>
      </c>
      <c r="AB54" s="44" t="str">
        <f t="shared" si="2"/>
        <v/>
      </c>
      <c r="AC54" s="101" t="str">
        <f t="shared" si="3"/>
        <v/>
      </c>
      <c r="AD54" s="101" t="str">
        <f t="shared" si="4"/>
        <v/>
      </c>
      <c r="AE54" s="101" t="str">
        <f t="shared" si="5"/>
        <v/>
      </c>
      <c r="AF54" s="45" t="str">
        <f t="shared" si="6"/>
        <v/>
      </c>
      <c r="AG54" s="124" t="str">
        <f t="shared" si="7"/>
        <v/>
      </c>
      <c r="AH54" s="2"/>
      <c r="AI54" s="78"/>
      <c r="AJ54" s="128"/>
      <c r="AK54" s="76"/>
      <c r="AL54" s="76"/>
      <c r="AM54" s="227"/>
      <c r="AN54" s="228"/>
      <c r="AO54" s="229"/>
      <c r="AP54" s="230"/>
      <c r="AQ54" s="231"/>
      <c r="AR54" s="232"/>
    </row>
    <row r="55" spans="1:44" x14ac:dyDescent="0.25">
      <c r="A55" s="19">
        <v>44</v>
      </c>
      <c r="B55" s="36">
        <f>+'CORTE I '!B55</f>
        <v>0</v>
      </c>
      <c r="C55" s="36">
        <f>+'CORTE I '!C55</f>
        <v>0</v>
      </c>
      <c r="D55" s="153">
        <f>+'CORTE I '!D55</f>
        <v>0</v>
      </c>
      <c r="E55" s="35"/>
      <c r="F55" s="36"/>
      <c r="G55" s="37"/>
      <c r="H55" s="35"/>
      <c r="I55" s="36"/>
      <c r="J55" s="37"/>
      <c r="K55" s="35"/>
      <c r="L55" s="36"/>
      <c r="M55" s="89"/>
      <c r="N55" s="35"/>
      <c r="O55" s="84"/>
      <c r="P55" s="37"/>
      <c r="Q55" s="35"/>
      <c r="R55" s="84"/>
      <c r="S55" s="37"/>
      <c r="T55" s="35"/>
      <c r="U55" s="84"/>
      <c r="V55" s="37"/>
      <c r="W55" s="38"/>
      <c r="X55" s="37"/>
      <c r="Y55" s="59"/>
      <c r="Z55" s="35" t="str">
        <f t="shared" si="0"/>
        <v/>
      </c>
      <c r="AA55" s="36" t="str">
        <f t="shared" si="1"/>
        <v/>
      </c>
      <c r="AB55" s="36" t="str">
        <f t="shared" si="2"/>
        <v/>
      </c>
      <c r="AC55" s="102" t="str">
        <f t="shared" si="3"/>
        <v/>
      </c>
      <c r="AD55" s="102" t="str">
        <f t="shared" si="4"/>
        <v/>
      </c>
      <c r="AE55" s="102" t="str">
        <f t="shared" si="5"/>
        <v/>
      </c>
      <c r="AF55" s="37" t="str">
        <f t="shared" si="6"/>
        <v/>
      </c>
      <c r="AG55" s="124" t="str">
        <f t="shared" si="7"/>
        <v/>
      </c>
      <c r="AH55" s="2"/>
      <c r="AI55" s="78"/>
      <c r="AJ55" s="129"/>
      <c r="AK55" s="2"/>
      <c r="AL55" s="2"/>
      <c r="AM55" s="233"/>
      <c r="AN55" s="234"/>
      <c r="AO55" s="235"/>
      <c r="AP55" s="236"/>
      <c r="AQ55" s="237"/>
      <c r="AR55" s="238"/>
    </row>
    <row r="56" spans="1:44" x14ac:dyDescent="0.25">
      <c r="A56" s="107">
        <v>45</v>
      </c>
      <c r="B56" s="108">
        <f>+'CORTE I '!B56</f>
        <v>0</v>
      </c>
      <c r="C56" s="108">
        <f>+'CORTE I '!C56</f>
        <v>0</v>
      </c>
      <c r="D56" s="154">
        <f>+'CORTE I '!D56</f>
        <v>0</v>
      </c>
      <c r="E56" s="43"/>
      <c r="F56" s="44"/>
      <c r="G56" s="45"/>
      <c r="H56" s="43"/>
      <c r="I56" s="44"/>
      <c r="J56" s="45"/>
      <c r="K56" s="43"/>
      <c r="L56" s="44"/>
      <c r="M56" s="90"/>
      <c r="N56" s="43"/>
      <c r="O56" s="85"/>
      <c r="P56" s="45"/>
      <c r="Q56" s="43"/>
      <c r="R56" s="85"/>
      <c r="S56" s="45"/>
      <c r="T56" s="43"/>
      <c r="U56" s="85"/>
      <c r="V56" s="45"/>
      <c r="W56" s="46"/>
      <c r="X56" s="45"/>
      <c r="Y56" s="59"/>
      <c r="Z56" s="43" t="str">
        <f t="shared" si="0"/>
        <v/>
      </c>
      <c r="AA56" s="44" t="str">
        <f t="shared" si="1"/>
        <v/>
      </c>
      <c r="AB56" s="44" t="str">
        <f t="shared" si="2"/>
        <v/>
      </c>
      <c r="AC56" s="101" t="str">
        <f t="shared" si="3"/>
        <v/>
      </c>
      <c r="AD56" s="101" t="str">
        <f t="shared" si="4"/>
        <v/>
      </c>
      <c r="AE56" s="101" t="str">
        <f t="shared" si="5"/>
        <v/>
      </c>
      <c r="AF56" s="45" t="str">
        <f t="shared" si="6"/>
        <v/>
      </c>
      <c r="AG56" s="124" t="str">
        <f t="shared" si="7"/>
        <v/>
      </c>
      <c r="AH56" s="2"/>
      <c r="AI56" s="78"/>
      <c r="AJ56" s="128"/>
      <c r="AK56" s="76"/>
      <c r="AL56" s="76"/>
      <c r="AM56" s="227"/>
      <c r="AN56" s="228"/>
      <c r="AO56" s="229"/>
      <c r="AP56" s="230"/>
      <c r="AQ56" s="231"/>
      <c r="AR56" s="232"/>
    </row>
    <row r="57" spans="1:44" x14ac:dyDescent="0.25">
      <c r="A57" s="19">
        <v>46</v>
      </c>
      <c r="B57" s="36">
        <f>+'CORTE I '!B57</f>
        <v>0</v>
      </c>
      <c r="C57" s="36">
        <f>+'CORTE I '!C57</f>
        <v>0</v>
      </c>
      <c r="D57" s="153">
        <f>+'CORTE I '!D57</f>
        <v>0</v>
      </c>
      <c r="E57" s="35"/>
      <c r="F57" s="36"/>
      <c r="G57" s="37"/>
      <c r="H57" s="35"/>
      <c r="I57" s="36"/>
      <c r="J57" s="37"/>
      <c r="K57" s="35"/>
      <c r="L57" s="36"/>
      <c r="M57" s="89"/>
      <c r="N57" s="35"/>
      <c r="O57" s="84"/>
      <c r="P57" s="37"/>
      <c r="Q57" s="35"/>
      <c r="R57" s="84"/>
      <c r="S57" s="37"/>
      <c r="T57" s="35"/>
      <c r="U57" s="84"/>
      <c r="V57" s="37"/>
      <c r="W57" s="38"/>
      <c r="X57" s="37"/>
      <c r="Y57" s="59"/>
      <c r="Z57" s="35" t="str">
        <f t="shared" si="0"/>
        <v/>
      </c>
      <c r="AA57" s="36" t="str">
        <f t="shared" si="1"/>
        <v/>
      </c>
      <c r="AB57" s="36" t="str">
        <f t="shared" si="2"/>
        <v/>
      </c>
      <c r="AC57" s="102" t="str">
        <f t="shared" si="3"/>
        <v/>
      </c>
      <c r="AD57" s="102" t="str">
        <f t="shared" si="4"/>
        <v/>
      </c>
      <c r="AE57" s="102" t="str">
        <f t="shared" si="5"/>
        <v/>
      </c>
      <c r="AF57" s="37" t="str">
        <f t="shared" si="6"/>
        <v/>
      </c>
      <c r="AG57" s="124" t="str">
        <f t="shared" si="7"/>
        <v/>
      </c>
      <c r="AH57" s="2"/>
      <c r="AI57" s="78"/>
      <c r="AJ57" s="129"/>
      <c r="AK57" s="2"/>
      <c r="AL57" s="2"/>
      <c r="AM57" s="233"/>
      <c r="AN57" s="234"/>
      <c r="AO57" s="235"/>
      <c r="AP57" s="236"/>
      <c r="AQ57" s="237"/>
      <c r="AR57" s="238"/>
    </row>
    <row r="58" spans="1:44" x14ac:dyDescent="0.25">
      <c r="A58" s="107">
        <v>47</v>
      </c>
      <c r="B58" s="108">
        <f>+'CORTE I '!B58</f>
        <v>0</v>
      </c>
      <c r="C58" s="108">
        <f>+'CORTE I '!C58</f>
        <v>0</v>
      </c>
      <c r="D58" s="154">
        <f>+'CORTE I '!D58</f>
        <v>0</v>
      </c>
      <c r="E58" s="43"/>
      <c r="F58" s="44"/>
      <c r="G58" s="45"/>
      <c r="H58" s="43"/>
      <c r="I58" s="44"/>
      <c r="J58" s="45"/>
      <c r="K58" s="43"/>
      <c r="L58" s="44"/>
      <c r="M58" s="90"/>
      <c r="N58" s="43"/>
      <c r="O58" s="85"/>
      <c r="P58" s="45"/>
      <c r="Q58" s="43"/>
      <c r="R58" s="85"/>
      <c r="S58" s="45"/>
      <c r="T58" s="43"/>
      <c r="U58" s="85"/>
      <c r="V58" s="45"/>
      <c r="W58" s="46"/>
      <c r="X58" s="45"/>
      <c r="Y58" s="59"/>
      <c r="Z58" s="43" t="str">
        <f t="shared" si="0"/>
        <v/>
      </c>
      <c r="AA58" s="44" t="str">
        <f t="shared" si="1"/>
        <v/>
      </c>
      <c r="AB58" s="44" t="str">
        <f t="shared" si="2"/>
        <v/>
      </c>
      <c r="AC58" s="101" t="str">
        <f t="shared" si="3"/>
        <v/>
      </c>
      <c r="AD58" s="101" t="str">
        <f t="shared" si="4"/>
        <v/>
      </c>
      <c r="AE58" s="101" t="str">
        <f t="shared" si="5"/>
        <v/>
      </c>
      <c r="AF58" s="45" t="str">
        <f t="shared" si="6"/>
        <v/>
      </c>
      <c r="AG58" s="124" t="str">
        <f t="shared" si="7"/>
        <v/>
      </c>
      <c r="AH58" s="2"/>
      <c r="AI58" s="78"/>
      <c r="AJ58" s="128"/>
      <c r="AK58" s="76"/>
      <c r="AL58" s="76"/>
      <c r="AM58" s="227"/>
      <c r="AN58" s="228"/>
      <c r="AO58" s="229"/>
      <c r="AP58" s="230"/>
      <c r="AQ58" s="231"/>
      <c r="AR58" s="232"/>
    </row>
    <row r="59" spans="1:44" x14ac:dyDescent="0.25">
      <c r="A59" s="19">
        <v>48</v>
      </c>
      <c r="B59" s="36">
        <f>+'CORTE I '!B59</f>
        <v>0</v>
      </c>
      <c r="C59" s="36">
        <f>+'CORTE I '!C59</f>
        <v>0</v>
      </c>
      <c r="D59" s="153">
        <f>+'CORTE I '!D59</f>
        <v>0</v>
      </c>
      <c r="E59" s="35"/>
      <c r="F59" s="36"/>
      <c r="G59" s="37"/>
      <c r="H59" s="35"/>
      <c r="I59" s="36"/>
      <c r="J59" s="37"/>
      <c r="K59" s="35"/>
      <c r="L59" s="36"/>
      <c r="M59" s="89"/>
      <c r="N59" s="35"/>
      <c r="O59" s="84"/>
      <c r="P59" s="37"/>
      <c r="Q59" s="35"/>
      <c r="R59" s="84"/>
      <c r="S59" s="37"/>
      <c r="T59" s="35"/>
      <c r="U59" s="84"/>
      <c r="V59" s="37"/>
      <c r="W59" s="38"/>
      <c r="X59" s="37"/>
      <c r="Y59" s="59"/>
      <c r="Z59" s="35" t="str">
        <f t="shared" si="0"/>
        <v/>
      </c>
      <c r="AA59" s="36" t="str">
        <f t="shared" si="1"/>
        <v/>
      </c>
      <c r="AB59" s="36" t="str">
        <f t="shared" si="2"/>
        <v/>
      </c>
      <c r="AC59" s="102" t="str">
        <f t="shared" si="3"/>
        <v/>
      </c>
      <c r="AD59" s="102" t="str">
        <f t="shared" si="4"/>
        <v/>
      </c>
      <c r="AE59" s="102" t="str">
        <f t="shared" si="5"/>
        <v/>
      </c>
      <c r="AF59" s="37" t="str">
        <f t="shared" si="6"/>
        <v/>
      </c>
      <c r="AG59" s="124" t="str">
        <f t="shared" si="7"/>
        <v/>
      </c>
      <c r="AH59" s="2"/>
      <c r="AI59" s="78"/>
      <c r="AJ59" s="129"/>
      <c r="AK59" s="2"/>
      <c r="AL59" s="2"/>
      <c r="AM59" s="233"/>
      <c r="AN59" s="234"/>
      <c r="AO59" s="235"/>
      <c r="AP59" s="236"/>
      <c r="AQ59" s="237"/>
      <c r="AR59" s="238"/>
    </row>
    <row r="60" spans="1:44" x14ac:dyDescent="0.25">
      <c r="A60" s="107">
        <v>49</v>
      </c>
      <c r="B60" s="108">
        <f>+'CORTE I '!B60</f>
        <v>0</v>
      </c>
      <c r="C60" s="108">
        <f>+'CORTE I '!C60</f>
        <v>0</v>
      </c>
      <c r="D60" s="154">
        <f>+'CORTE I '!D60</f>
        <v>0</v>
      </c>
      <c r="E60" s="43"/>
      <c r="F60" s="44"/>
      <c r="G60" s="45"/>
      <c r="H60" s="43"/>
      <c r="I60" s="44"/>
      <c r="J60" s="45"/>
      <c r="K60" s="43"/>
      <c r="L60" s="44"/>
      <c r="M60" s="90"/>
      <c r="N60" s="43"/>
      <c r="O60" s="85"/>
      <c r="P60" s="45"/>
      <c r="Q60" s="43"/>
      <c r="R60" s="85"/>
      <c r="S60" s="45"/>
      <c r="T60" s="43"/>
      <c r="U60" s="85"/>
      <c r="V60" s="45"/>
      <c r="W60" s="46"/>
      <c r="X60" s="45"/>
      <c r="Y60" s="59"/>
      <c r="Z60" s="43" t="str">
        <f t="shared" si="0"/>
        <v/>
      </c>
      <c r="AA60" s="44" t="str">
        <f t="shared" si="1"/>
        <v/>
      </c>
      <c r="AB60" s="44" t="str">
        <f t="shared" si="2"/>
        <v/>
      </c>
      <c r="AC60" s="101" t="str">
        <f t="shared" si="3"/>
        <v/>
      </c>
      <c r="AD60" s="101" t="str">
        <f t="shared" si="4"/>
        <v/>
      </c>
      <c r="AE60" s="101" t="str">
        <f t="shared" si="5"/>
        <v/>
      </c>
      <c r="AF60" s="45" t="str">
        <f t="shared" si="6"/>
        <v/>
      </c>
      <c r="AG60" s="124" t="str">
        <f t="shared" si="7"/>
        <v/>
      </c>
      <c r="AH60" s="2"/>
      <c r="AI60" s="78"/>
      <c r="AJ60" s="128"/>
      <c r="AK60" s="76"/>
      <c r="AL60" s="76"/>
      <c r="AM60" s="227"/>
      <c r="AN60" s="228"/>
      <c r="AO60" s="229"/>
      <c r="AP60" s="230"/>
      <c r="AQ60" s="231"/>
      <c r="AR60" s="232"/>
    </row>
    <row r="61" spans="1:44" x14ac:dyDescent="0.25">
      <c r="A61" s="19">
        <v>50</v>
      </c>
      <c r="B61" s="36">
        <f>+'CORTE I '!B61</f>
        <v>0</v>
      </c>
      <c r="C61" s="36">
        <f>+'CORTE I '!C61</f>
        <v>0</v>
      </c>
      <c r="D61" s="153">
        <f>+'CORTE I '!D61</f>
        <v>0</v>
      </c>
      <c r="E61" s="35"/>
      <c r="F61" s="36"/>
      <c r="G61" s="37"/>
      <c r="H61" s="35"/>
      <c r="I61" s="36"/>
      <c r="J61" s="37"/>
      <c r="K61" s="35"/>
      <c r="L61" s="36"/>
      <c r="M61" s="89"/>
      <c r="N61" s="35"/>
      <c r="O61" s="84"/>
      <c r="P61" s="37"/>
      <c r="Q61" s="35"/>
      <c r="R61" s="84"/>
      <c r="S61" s="37"/>
      <c r="T61" s="35"/>
      <c r="U61" s="84"/>
      <c r="V61" s="37"/>
      <c r="W61" s="38"/>
      <c r="X61" s="37"/>
      <c r="Y61" s="59"/>
      <c r="Z61" s="35" t="str">
        <f t="shared" si="0"/>
        <v/>
      </c>
      <c r="AA61" s="36" t="str">
        <f t="shared" si="1"/>
        <v/>
      </c>
      <c r="AB61" s="36" t="str">
        <f t="shared" si="2"/>
        <v/>
      </c>
      <c r="AC61" s="102" t="str">
        <f t="shared" si="3"/>
        <v/>
      </c>
      <c r="AD61" s="102" t="str">
        <f t="shared" si="4"/>
        <v/>
      </c>
      <c r="AE61" s="102" t="str">
        <f t="shared" si="5"/>
        <v/>
      </c>
      <c r="AF61" s="37" t="str">
        <f t="shared" si="6"/>
        <v/>
      </c>
      <c r="AG61" s="124" t="str">
        <f t="shared" si="7"/>
        <v/>
      </c>
      <c r="AH61" s="2"/>
      <c r="AI61" s="78"/>
      <c r="AJ61" s="129"/>
      <c r="AK61" s="2"/>
      <c r="AL61" s="2"/>
      <c r="AM61" s="233"/>
      <c r="AN61" s="234"/>
      <c r="AO61" s="235"/>
      <c r="AP61" s="236"/>
      <c r="AQ61" s="237"/>
      <c r="AR61" s="238"/>
    </row>
    <row r="62" spans="1:44" x14ac:dyDescent="0.25">
      <c r="A62" s="107">
        <v>51</v>
      </c>
      <c r="B62" s="108">
        <f>+'CORTE I '!B62</f>
        <v>0</v>
      </c>
      <c r="C62" s="108">
        <f>+'CORTE I '!C62</f>
        <v>0</v>
      </c>
      <c r="D62" s="154">
        <f>+'CORTE I '!D62</f>
        <v>0</v>
      </c>
      <c r="E62" s="43"/>
      <c r="F62" s="44"/>
      <c r="G62" s="45"/>
      <c r="H62" s="43"/>
      <c r="I62" s="44"/>
      <c r="J62" s="45"/>
      <c r="K62" s="43"/>
      <c r="L62" s="44"/>
      <c r="M62" s="90"/>
      <c r="N62" s="43"/>
      <c r="O62" s="85"/>
      <c r="P62" s="45"/>
      <c r="Q62" s="43"/>
      <c r="R62" s="85"/>
      <c r="S62" s="45"/>
      <c r="T62" s="43"/>
      <c r="U62" s="85"/>
      <c r="V62" s="45"/>
      <c r="W62" s="46"/>
      <c r="X62" s="45"/>
      <c r="Y62" s="59"/>
      <c r="Z62" s="43" t="str">
        <f t="shared" si="0"/>
        <v/>
      </c>
      <c r="AA62" s="44" t="str">
        <f t="shared" si="1"/>
        <v/>
      </c>
      <c r="AB62" s="44" t="str">
        <f t="shared" si="2"/>
        <v/>
      </c>
      <c r="AC62" s="101" t="str">
        <f t="shared" si="3"/>
        <v/>
      </c>
      <c r="AD62" s="101" t="str">
        <f t="shared" si="4"/>
        <v/>
      </c>
      <c r="AE62" s="101" t="str">
        <f t="shared" si="5"/>
        <v/>
      </c>
      <c r="AF62" s="45" t="str">
        <f t="shared" si="6"/>
        <v/>
      </c>
      <c r="AG62" s="124" t="str">
        <f t="shared" si="7"/>
        <v/>
      </c>
      <c r="AH62" s="2"/>
      <c r="AI62" s="78"/>
      <c r="AJ62" s="128"/>
      <c r="AK62" s="76"/>
      <c r="AL62" s="76"/>
      <c r="AM62" s="227"/>
      <c r="AN62" s="228"/>
      <c r="AO62" s="229"/>
      <c r="AP62" s="230"/>
      <c r="AQ62" s="231"/>
      <c r="AR62" s="232"/>
    </row>
    <row r="63" spans="1:44" x14ac:dyDescent="0.25">
      <c r="A63" s="19">
        <v>52</v>
      </c>
      <c r="B63" s="36">
        <f>+'CORTE I '!B63</f>
        <v>0</v>
      </c>
      <c r="C63" s="36">
        <f>+'CORTE I '!C63</f>
        <v>0</v>
      </c>
      <c r="D63" s="153">
        <f>+'CORTE I '!D63</f>
        <v>0</v>
      </c>
      <c r="E63" s="35"/>
      <c r="F63" s="36"/>
      <c r="G63" s="37"/>
      <c r="H63" s="35"/>
      <c r="I63" s="36"/>
      <c r="J63" s="37"/>
      <c r="K63" s="35"/>
      <c r="L63" s="36"/>
      <c r="M63" s="89"/>
      <c r="N63" s="35"/>
      <c r="O63" s="84"/>
      <c r="P63" s="37"/>
      <c r="Q63" s="35"/>
      <c r="R63" s="84"/>
      <c r="S63" s="37"/>
      <c r="T63" s="35"/>
      <c r="U63" s="84"/>
      <c r="V63" s="37"/>
      <c r="W63" s="38"/>
      <c r="X63" s="37"/>
      <c r="Y63" s="59"/>
      <c r="Z63" s="35" t="str">
        <f t="shared" si="0"/>
        <v/>
      </c>
      <c r="AA63" s="36" t="str">
        <f t="shared" si="1"/>
        <v/>
      </c>
      <c r="AB63" s="36" t="str">
        <f t="shared" si="2"/>
        <v/>
      </c>
      <c r="AC63" s="102" t="str">
        <f t="shared" si="3"/>
        <v/>
      </c>
      <c r="AD63" s="102" t="str">
        <f t="shared" si="4"/>
        <v/>
      </c>
      <c r="AE63" s="102" t="str">
        <f t="shared" si="5"/>
        <v/>
      </c>
      <c r="AF63" s="37" t="str">
        <f t="shared" si="6"/>
        <v/>
      </c>
      <c r="AG63" s="124" t="str">
        <f t="shared" si="7"/>
        <v/>
      </c>
      <c r="AH63" s="2"/>
      <c r="AI63" s="78"/>
      <c r="AJ63" s="129"/>
      <c r="AK63" s="2"/>
      <c r="AL63" s="2"/>
      <c r="AM63" s="233"/>
      <c r="AN63" s="234"/>
      <c r="AO63" s="235"/>
      <c r="AP63" s="236"/>
      <c r="AQ63" s="237"/>
      <c r="AR63" s="238"/>
    </row>
    <row r="64" spans="1:44" ht="15.75" thickBot="1" x14ac:dyDescent="0.3">
      <c r="A64" s="110">
        <v>53</v>
      </c>
      <c r="B64" s="111">
        <f>+'CORTE I '!B64</f>
        <v>0</v>
      </c>
      <c r="C64" s="111">
        <f>+'CORTE I '!C64</f>
        <v>0</v>
      </c>
      <c r="D64" s="155">
        <f>+'CORTE I '!D64</f>
        <v>0</v>
      </c>
      <c r="E64" s="50"/>
      <c r="F64" s="51"/>
      <c r="G64" s="52"/>
      <c r="H64" s="50"/>
      <c r="I64" s="51"/>
      <c r="J64" s="52"/>
      <c r="K64" s="50"/>
      <c r="L64" s="51"/>
      <c r="M64" s="91"/>
      <c r="N64" s="50"/>
      <c r="O64" s="86"/>
      <c r="P64" s="52"/>
      <c r="Q64" s="50"/>
      <c r="R64" s="86"/>
      <c r="S64" s="52"/>
      <c r="T64" s="50"/>
      <c r="U64" s="86"/>
      <c r="V64" s="52"/>
      <c r="W64" s="53"/>
      <c r="X64" s="52"/>
      <c r="Y64" s="59"/>
      <c r="Z64" s="50" t="str">
        <f t="shared" si="0"/>
        <v/>
      </c>
      <c r="AA64" s="51" t="str">
        <f t="shared" si="1"/>
        <v/>
      </c>
      <c r="AB64" s="51" t="str">
        <f t="shared" si="2"/>
        <v/>
      </c>
      <c r="AC64" s="104" t="str">
        <f t="shared" si="3"/>
        <v/>
      </c>
      <c r="AD64" s="104" t="str">
        <f t="shared" si="4"/>
        <v/>
      </c>
      <c r="AE64" s="104" t="str">
        <f t="shared" si="5"/>
        <v/>
      </c>
      <c r="AF64" s="52" t="str">
        <f t="shared" si="6"/>
        <v/>
      </c>
      <c r="AG64" s="124" t="str">
        <f t="shared" si="7"/>
        <v/>
      </c>
      <c r="AH64" s="2"/>
      <c r="AI64" s="78"/>
      <c r="AJ64" s="128"/>
      <c r="AK64" s="76"/>
      <c r="AL64" s="76"/>
      <c r="AM64" s="227"/>
      <c r="AN64" s="228"/>
      <c r="AO64" s="229"/>
      <c r="AP64" s="230"/>
      <c r="AQ64" s="231"/>
      <c r="AR64" s="232"/>
    </row>
    <row r="65" spans="33:44" hidden="1" x14ac:dyDescent="0.25">
      <c r="AG65" s="124">
        <f t="shared" ref="AG65" si="8">Z65*$X$1+AA65*X52+AB65*X53+AC65*X54+AD65*X55+AE65*X56+AF65*X57</f>
        <v>0</v>
      </c>
      <c r="AJ65" s="129"/>
      <c r="AK65" s="2"/>
      <c r="AL65" s="2"/>
      <c r="AM65" s="233"/>
      <c r="AN65" s="234"/>
      <c r="AO65" s="235"/>
      <c r="AP65" s="236"/>
      <c r="AQ65" s="237"/>
      <c r="AR65" s="238"/>
    </row>
  </sheetData>
  <mergeCells count="131">
    <mergeCell ref="A3:D7"/>
    <mergeCell ref="AM63:AO63"/>
    <mergeCell ref="AP63:AR63"/>
    <mergeCell ref="AM64:AO64"/>
    <mergeCell ref="AP64:AR64"/>
    <mergeCell ref="AM65:AO65"/>
    <mergeCell ref="AP65:AR65"/>
    <mergeCell ref="AM60:AO60"/>
    <mergeCell ref="AP60:AR60"/>
    <mergeCell ref="AM61:AO61"/>
    <mergeCell ref="AP61:AR61"/>
    <mergeCell ref="AM62:AO62"/>
    <mergeCell ref="AP62:AR62"/>
    <mergeCell ref="AM57:AO57"/>
    <mergeCell ref="AP57:AR57"/>
    <mergeCell ref="AM58:AO58"/>
    <mergeCell ref="AP58:AR58"/>
    <mergeCell ref="AM59:AO59"/>
    <mergeCell ref="AP59:AR59"/>
    <mergeCell ref="AM54:AO54"/>
    <mergeCell ref="AP54:AR54"/>
    <mergeCell ref="AM55:AO55"/>
    <mergeCell ref="AP55:AR55"/>
    <mergeCell ref="AM56:AO56"/>
    <mergeCell ref="AP56:AR56"/>
    <mergeCell ref="AM51:AO51"/>
    <mergeCell ref="AP51:AR51"/>
    <mergeCell ref="AM52:AO52"/>
    <mergeCell ref="AP52:AR52"/>
    <mergeCell ref="AM53:AO53"/>
    <mergeCell ref="AP53:AR53"/>
    <mergeCell ref="AM48:AO48"/>
    <mergeCell ref="AP48:AR48"/>
    <mergeCell ref="AM49:AO49"/>
    <mergeCell ref="AP49:AR49"/>
    <mergeCell ref="AM50:AO50"/>
    <mergeCell ref="AP50:AR50"/>
    <mergeCell ref="AM45:AO45"/>
    <mergeCell ref="AP45:AR45"/>
    <mergeCell ref="AM46:AO46"/>
    <mergeCell ref="AP46:AR46"/>
    <mergeCell ref="AM47:AO47"/>
    <mergeCell ref="AP47:AR47"/>
    <mergeCell ref="AM42:AO42"/>
    <mergeCell ref="AP42:AR42"/>
    <mergeCell ref="AM43:AO43"/>
    <mergeCell ref="AP43:AR43"/>
    <mergeCell ref="AM44:AO44"/>
    <mergeCell ref="AP44:AR44"/>
    <mergeCell ref="Z10:AG10"/>
    <mergeCell ref="E2:W2"/>
    <mergeCell ref="X2:Y2"/>
    <mergeCell ref="E7:W7"/>
    <mergeCell ref="X8:Y8"/>
    <mergeCell ref="X3:Y3"/>
    <mergeCell ref="E1:W1"/>
    <mergeCell ref="X1:Y1"/>
    <mergeCell ref="E5:W5"/>
    <mergeCell ref="X5:Y5"/>
    <mergeCell ref="E6:W6"/>
    <mergeCell ref="X6:Y6"/>
    <mergeCell ref="E3:W3"/>
    <mergeCell ref="E4:W4"/>
    <mergeCell ref="X4:Y4"/>
    <mergeCell ref="E10:X10"/>
    <mergeCell ref="X7:Y7"/>
    <mergeCell ref="AJ10:AL10"/>
    <mergeCell ref="AM10:AR10"/>
    <mergeCell ref="AM11:AO11"/>
    <mergeCell ref="AP11:AR11"/>
    <mergeCell ref="AM12:AO12"/>
    <mergeCell ref="AP12:AR12"/>
    <mergeCell ref="AM13:AO13"/>
    <mergeCell ref="AP13:AR13"/>
    <mergeCell ref="AM14:AO14"/>
    <mergeCell ref="AP14:AR14"/>
    <mergeCell ref="AM15:AO15"/>
    <mergeCell ref="AP15:AR15"/>
    <mergeCell ref="AM16:AO16"/>
    <mergeCell ref="AP16:AR16"/>
    <mergeCell ref="AM17:AO17"/>
    <mergeCell ref="AP17:AR17"/>
    <mergeCell ref="AM18:AO18"/>
    <mergeCell ref="AP18:AR18"/>
    <mergeCell ref="AM19:AO19"/>
    <mergeCell ref="AP19:AR19"/>
    <mergeCell ref="AM20:AO20"/>
    <mergeCell ref="AP20:AR20"/>
    <mergeCell ref="AM21:AO21"/>
    <mergeCell ref="AP21:AR21"/>
    <mergeCell ref="AM22:AO22"/>
    <mergeCell ref="AP22:AR22"/>
    <mergeCell ref="AM23:AO23"/>
    <mergeCell ref="AP23:AR23"/>
    <mergeCell ref="AM24:AO24"/>
    <mergeCell ref="AP24:AR24"/>
    <mergeCell ref="AP33:AR33"/>
    <mergeCell ref="AM25:AO25"/>
    <mergeCell ref="AP25:AR25"/>
    <mergeCell ref="AM26:AO26"/>
    <mergeCell ref="AP26:AR26"/>
    <mergeCell ref="AM27:AO27"/>
    <mergeCell ref="AP27:AR27"/>
    <mergeCell ref="AM28:AO28"/>
    <mergeCell ref="AP28:AR28"/>
    <mergeCell ref="AM29:AO29"/>
    <mergeCell ref="AP29:AR29"/>
    <mergeCell ref="AM40:AO40"/>
    <mergeCell ref="AP40:AR40"/>
    <mergeCell ref="AM41:AO41"/>
    <mergeCell ref="AP41:AR41"/>
    <mergeCell ref="A1:D2"/>
    <mergeCell ref="AM37:AO37"/>
    <mergeCell ref="AP37:AR37"/>
    <mergeCell ref="AM38:AO38"/>
    <mergeCell ref="AP38:AR38"/>
    <mergeCell ref="AM39:AO39"/>
    <mergeCell ref="AP39:AR39"/>
    <mergeCell ref="AM34:AO34"/>
    <mergeCell ref="AP34:AR34"/>
    <mergeCell ref="AM35:AO35"/>
    <mergeCell ref="AP35:AR35"/>
    <mergeCell ref="AM30:AO30"/>
    <mergeCell ref="AP30:AR30"/>
    <mergeCell ref="AM36:AO36"/>
    <mergeCell ref="AP36:AR36"/>
    <mergeCell ref="AM31:AO31"/>
    <mergeCell ref="AP31:AR31"/>
    <mergeCell ref="AM32:AO32"/>
    <mergeCell ref="AP32:AR32"/>
    <mergeCell ref="AM33:AO33"/>
  </mergeCells>
  <conditionalFormatting sqref="AG12:AG65">
    <cfRule type="cellIs" dxfId="11" priority="1" operator="between">
      <formula>4</formula>
      <formula>5</formula>
    </cfRule>
    <cfRule type="cellIs" dxfId="10" priority="2" operator="between">
      <formula>3</formula>
      <formula>3.99</formula>
    </cfRule>
    <cfRule type="cellIs" dxfId="9" priority="3" operator="between">
      <formula>0.1</formula>
      <formula>2.99</formula>
    </cfRule>
  </conditionalFormatting>
  <pageMargins left="0.7" right="0.7" top="0.75" bottom="0.75" header="0.3" footer="0.3"/>
  <pageSetup scale="38" orientation="landscape" r:id="rId1"/>
  <rowBreaks count="1" manualBreakCount="1">
    <brk id="9" max="16383" man="1"/>
  </rowBreaks>
  <colBreaks count="1" manualBreakCount="1">
    <brk id="34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Z65"/>
  <sheetViews>
    <sheetView view="pageBreakPreview" zoomScaleNormal="100" zoomScaleSheetLayoutView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K12" sqref="K12:W12"/>
    </sheetView>
  </sheetViews>
  <sheetFormatPr baseColWidth="10" defaultRowHeight="15" x14ac:dyDescent="0.25"/>
  <cols>
    <col min="1" max="1" width="6.85546875" customWidth="1"/>
    <col min="2" max="2" width="14.42578125" customWidth="1"/>
    <col min="3" max="3" width="14.28515625" customWidth="1"/>
    <col min="4" max="4" width="48.7109375" customWidth="1"/>
    <col min="5" max="32" width="4.7109375" customWidth="1"/>
    <col min="33" max="33" width="12.7109375" customWidth="1"/>
    <col min="34" max="34" width="5.28515625" customWidth="1"/>
    <col min="39" max="39" width="12.42578125" customWidth="1"/>
    <col min="40" max="40" width="4.85546875" customWidth="1"/>
    <col min="41" max="41" width="20.42578125" customWidth="1"/>
    <col min="42" max="42" width="27" customWidth="1"/>
    <col min="43" max="43" width="4.42578125" customWidth="1"/>
  </cols>
  <sheetData>
    <row r="1" spans="1:52" ht="15.75" customHeight="1" x14ac:dyDescent="0.25">
      <c r="A1" s="239" t="s">
        <v>41</v>
      </c>
      <c r="B1" s="240"/>
      <c r="C1" s="240"/>
      <c r="D1" s="241"/>
      <c r="E1" s="259" t="s">
        <v>60</v>
      </c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76">
        <v>0</v>
      </c>
      <c r="Y1" s="277"/>
    </row>
    <row r="2" spans="1:52" ht="16.5" thickBot="1" x14ac:dyDescent="0.3">
      <c r="A2" s="242"/>
      <c r="B2" s="243"/>
      <c r="C2" s="243"/>
      <c r="D2" s="244"/>
      <c r="E2" s="249" t="s">
        <v>61</v>
      </c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78">
        <v>0</v>
      </c>
      <c r="Y2" s="279"/>
    </row>
    <row r="3" spans="1:52" ht="15.75" customHeight="1" x14ac:dyDescent="0.25">
      <c r="A3" s="270">
        <v>0.32</v>
      </c>
      <c r="B3" s="271"/>
      <c r="C3" s="271"/>
      <c r="D3" s="272"/>
      <c r="E3" s="263" t="s">
        <v>62</v>
      </c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80">
        <v>0.6</v>
      </c>
      <c r="Y3" s="281"/>
      <c r="Z3" s="25"/>
      <c r="AA3" s="25"/>
      <c r="AI3" s="282" t="s">
        <v>83</v>
      </c>
      <c r="AJ3" s="283"/>
      <c r="AK3" s="283"/>
      <c r="AL3" s="283"/>
      <c r="AM3" s="283"/>
      <c r="AN3" s="283"/>
      <c r="AO3" s="283"/>
      <c r="AP3" s="283"/>
    </row>
    <row r="4" spans="1:52" ht="15.75" customHeight="1" x14ac:dyDescent="0.25">
      <c r="A4" s="273"/>
      <c r="B4" s="274"/>
      <c r="C4" s="274"/>
      <c r="D4" s="275"/>
      <c r="E4" s="266" t="s">
        <v>71</v>
      </c>
      <c r="F4" s="267"/>
      <c r="G4" s="267"/>
      <c r="H4" s="267"/>
      <c r="I4" s="267"/>
      <c r="J4" s="267"/>
      <c r="K4" s="267"/>
      <c r="L4" s="267"/>
      <c r="M4" s="267"/>
      <c r="N4" s="267"/>
      <c r="O4" s="267"/>
      <c r="P4" s="267"/>
      <c r="Q4" s="267"/>
      <c r="R4" s="267"/>
      <c r="S4" s="267"/>
      <c r="T4" s="267"/>
      <c r="U4" s="267"/>
      <c r="V4" s="267"/>
      <c r="W4" s="267"/>
      <c r="X4" s="280">
        <v>0.1</v>
      </c>
      <c r="Y4" s="281"/>
      <c r="Z4" s="25"/>
      <c r="AA4" s="25"/>
      <c r="AI4" s="283"/>
      <c r="AJ4" s="283"/>
      <c r="AK4" s="283"/>
      <c r="AL4" s="283"/>
      <c r="AM4" s="283"/>
      <c r="AN4" s="283"/>
      <c r="AO4" s="283"/>
      <c r="AP4" s="283"/>
    </row>
    <row r="5" spans="1:52" ht="15.75" customHeight="1" x14ac:dyDescent="0.25">
      <c r="A5" s="273"/>
      <c r="B5" s="274"/>
      <c r="C5" s="274"/>
      <c r="D5" s="275"/>
      <c r="E5" s="263" t="s">
        <v>63</v>
      </c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80">
        <v>0</v>
      </c>
      <c r="Y5" s="281"/>
      <c r="Z5" s="25"/>
      <c r="AA5" s="25"/>
      <c r="AI5" s="283"/>
      <c r="AJ5" s="283"/>
      <c r="AK5" s="283"/>
      <c r="AL5" s="283"/>
      <c r="AM5" s="283"/>
      <c r="AN5" s="283"/>
      <c r="AO5" s="283"/>
      <c r="AP5" s="283"/>
    </row>
    <row r="6" spans="1:52" ht="15.75" customHeight="1" x14ac:dyDescent="0.25">
      <c r="A6" s="273"/>
      <c r="B6" s="274"/>
      <c r="C6" s="274"/>
      <c r="D6" s="275"/>
      <c r="E6" s="263" t="s">
        <v>75</v>
      </c>
      <c r="F6" s="250"/>
      <c r="G6" s="250"/>
      <c r="H6" s="250"/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80">
        <v>0</v>
      </c>
      <c r="Y6" s="281"/>
      <c r="Z6" s="25"/>
      <c r="AA6" s="25"/>
      <c r="AI6" s="283"/>
      <c r="AJ6" s="283"/>
      <c r="AK6" s="283"/>
      <c r="AL6" s="283"/>
      <c r="AM6" s="283"/>
      <c r="AN6" s="283"/>
      <c r="AO6" s="283"/>
      <c r="AP6" s="283"/>
    </row>
    <row r="7" spans="1:52" ht="16.5" customHeight="1" thickBot="1" x14ac:dyDescent="0.3">
      <c r="A7" s="273"/>
      <c r="B7" s="274"/>
      <c r="C7" s="274"/>
      <c r="D7" s="275"/>
      <c r="E7" s="253" t="s">
        <v>64</v>
      </c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68">
        <v>0.3</v>
      </c>
      <c r="Y7" s="269"/>
      <c r="Z7" s="25"/>
      <c r="AA7" s="25"/>
      <c r="AI7" s="283"/>
      <c r="AJ7" s="283"/>
      <c r="AK7" s="283"/>
      <c r="AL7" s="283"/>
      <c r="AM7" s="283"/>
      <c r="AN7" s="283"/>
      <c r="AO7" s="283"/>
      <c r="AP7" s="283"/>
    </row>
    <row r="8" spans="1:52" ht="15.75" customHeight="1" x14ac:dyDescent="1.2">
      <c r="A8" s="144"/>
      <c r="B8" s="145"/>
      <c r="C8" s="145"/>
      <c r="D8" s="146"/>
      <c r="X8" s="284">
        <f>SUM(X1:X7)</f>
        <v>1</v>
      </c>
      <c r="Y8" s="284"/>
      <c r="AB8" s="123"/>
      <c r="AC8" s="123"/>
      <c r="AD8" s="123"/>
      <c r="AE8" s="123"/>
      <c r="AF8" s="123"/>
      <c r="AG8" s="123"/>
    </row>
    <row r="9" spans="1:52" ht="15.75" customHeight="1" thickBot="1" x14ac:dyDescent="1.25">
      <c r="A9" s="144"/>
      <c r="B9" s="145"/>
      <c r="C9" s="145"/>
      <c r="D9" s="146"/>
    </row>
    <row r="10" spans="1:52" ht="16.5" thickBot="1" x14ac:dyDescent="0.3">
      <c r="E10" s="205" t="s">
        <v>24</v>
      </c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7"/>
      <c r="Z10" s="205" t="s">
        <v>25</v>
      </c>
      <c r="AA10" s="206"/>
      <c r="AB10" s="206"/>
      <c r="AC10" s="206"/>
      <c r="AD10" s="206"/>
      <c r="AE10" s="206"/>
      <c r="AF10" s="206"/>
      <c r="AG10" s="207"/>
      <c r="AI10" s="205" t="s">
        <v>27</v>
      </c>
      <c r="AJ10" s="206"/>
      <c r="AK10" s="206"/>
      <c r="AL10" s="206"/>
      <c r="AM10" s="207"/>
      <c r="AN10" s="3"/>
      <c r="AQ10" s="133"/>
      <c r="AR10" s="196" t="s">
        <v>30</v>
      </c>
      <c r="AS10" s="196"/>
      <c r="AT10" s="196"/>
      <c r="AU10" s="245"/>
      <c r="AV10" s="246"/>
      <c r="AW10" s="246"/>
      <c r="AX10" s="246"/>
      <c r="AY10" s="246"/>
      <c r="AZ10" s="246"/>
    </row>
    <row r="11" spans="1:52" ht="16.5" thickBot="1" x14ac:dyDescent="0.3">
      <c r="A11" s="4" t="s">
        <v>17</v>
      </c>
      <c r="B11" s="5" t="s">
        <v>36</v>
      </c>
      <c r="C11" s="5" t="s">
        <v>18</v>
      </c>
      <c r="D11" s="6" t="s">
        <v>21</v>
      </c>
      <c r="E11" s="4" t="s">
        <v>3</v>
      </c>
      <c r="F11" s="12" t="s">
        <v>4</v>
      </c>
      <c r="G11" s="6" t="s">
        <v>5</v>
      </c>
      <c r="H11" s="11" t="s">
        <v>0</v>
      </c>
      <c r="I11" s="5" t="s">
        <v>1</v>
      </c>
      <c r="J11" s="13" t="s">
        <v>2</v>
      </c>
      <c r="K11" s="4" t="s">
        <v>6</v>
      </c>
      <c r="L11" s="12" t="s">
        <v>8</v>
      </c>
      <c r="M11" s="6" t="s">
        <v>9</v>
      </c>
      <c r="N11" s="92" t="s">
        <v>54</v>
      </c>
      <c r="O11" s="96" t="s">
        <v>55</v>
      </c>
      <c r="P11" s="95" t="s">
        <v>65</v>
      </c>
      <c r="Q11" s="97" t="s">
        <v>58</v>
      </c>
      <c r="R11" s="93" t="s">
        <v>59</v>
      </c>
      <c r="S11" s="94" t="s">
        <v>66</v>
      </c>
      <c r="T11" s="92" t="s">
        <v>56</v>
      </c>
      <c r="U11" s="96" t="s">
        <v>57</v>
      </c>
      <c r="V11" s="95" t="s">
        <v>67</v>
      </c>
      <c r="W11" s="68" t="s">
        <v>10</v>
      </c>
      <c r="X11" s="6" t="s">
        <v>11</v>
      </c>
      <c r="Y11" s="69"/>
      <c r="Z11" s="66" t="s">
        <v>12</v>
      </c>
      <c r="AA11" s="66" t="s">
        <v>13</v>
      </c>
      <c r="AB11" s="66" t="s">
        <v>7</v>
      </c>
      <c r="AC11" s="100" t="s">
        <v>70</v>
      </c>
      <c r="AD11" s="100" t="s">
        <v>68</v>
      </c>
      <c r="AE11" s="100" t="s">
        <v>69</v>
      </c>
      <c r="AF11" s="66" t="s">
        <v>29</v>
      </c>
      <c r="AG11" s="66" t="s">
        <v>20</v>
      </c>
      <c r="AI11" s="71" t="s">
        <v>39</v>
      </c>
      <c r="AJ11" s="70" t="s">
        <v>40</v>
      </c>
      <c r="AK11" s="71" t="s">
        <v>41</v>
      </c>
      <c r="AL11" s="70" t="s">
        <v>26</v>
      </c>
      <c r="AM11" s="71" t="s">
        <v>81</v>
      </c>
      <c r="AN11" s="14"/>
      <c r="AO11" s="175" t="s">
        <v>28</v>
      </c>
      <c r="AP11" s="176" t="s">
        <v>77</v>
      </c>
      <c r="AQ11" s="133"/>
      <c r="AR11" s="77" t="s">
        <v>31</v>
      </c>
      <c r="AS11" s="77" t="s">
        <v>32</v>
      </c>
      <c r="AT11" s="77" t="s">
        <v>33</v>
      </c>
      <c r="AU11" s="247" t="s">
        <v>35</v>
      </c>
      <c r="AV11" s="247"/>
      <c r="AW11" s="247"/>
      <c r="AX11" s="247" t="s">
        <v>34</v>
      </c>
      <c r="AY11" s="247"/>
      <c r="AZ11" s="247"/>
    </row>
    <row r="12" spans="1:52" ht="15.75" thickBot="1" x14ac:dyDescent="0.3">
      <c r="A12" s="105">
        <v>1</v>
      </c>
      <c r="B12" s="106">
        <f>'CORTE I '!B12</f>
        <v>0</v>
      </c>
      <c r="C12" s="106">
        <f>'CORTE I '!C12</f>
        <v>0</v>
      </c>
      <c r="D12" s="152">
        <f>+'CORTE I '!D12</f>
        <v>0</v>
      </c>
      <c r="E12" s="26"/>
      <c r="F12" s="27"/>
      <c r="G12" s="28"/>
      <c r="H12" s="26"/>
      <c r="I12" s="27"/>
      <c r="J12" s="28"/>
      <c r="K12" s="26"/>
      <c r="L12" s="27"/>
      <c r="M12" s="28"/>
      <c r="N12" s="26"/>
      <c r="O12" s="83"/>
      <c r="P12" s="28"/>
      <c r="Q12" s="26"/>
      <c r="R12" s="83"/>
      <c r="S12" s="28"/>
      <c r="T12" s="26"/>
      <c r="U12" s="83"/>
      <c r="V12" s="28"/>
      <c r="W12" s="29"/>
      <c r="X12" s="28"/>
      <c r="Y12" s="59"/>
      <c r="Z12" s="55" t="str">
        <f>IF(D12&gt;0,IF(ISERROR(AVERAGE(E12:G12)),0,AVERAGE(E12:G12)),"")</f>
        <v/>
      </c>
      <c r="AA12" s="56" t="str">
        <f>IF(D12&gt;0,IF(ISERROR(AVERAGE(H12:J12)),0,AVERAGE(H12:J12)),"")</f>
        <v/>
      </c>
      <c r="AB12" s="56" t="str">
        <f>IF(D12&gt;0,IF(ISERROR(AVERAGE(K12:M12)),0,AVERAGE(K12:M12)),"")</f>
        <v/>
      </c>
      <c r="AC12" s="103" t="str">
        <f>IF(D12&gt;0,IF(ISERROR(AVERAGE(N12:P12)),0,AVERAGE(N12:P12)),"")</f>
        <v/>
      </c>
      <c r="AD12" s="103" t="str">
        <f>IF(D12&gt;0,IF(ISERROR(AVERAGE(Q12:S12)),0,AVERAGE(Q12:S12)),"")</f>
        <v/>
      </c>
      <c r="AE12" s="103" t="str">
        <f>IF(D12&gt;0,IF(ISERROR(AVERAGE(T12:V12)),0,AVERAGE(T12:V12)),"")</f>
        <v/>
      </c>
      <c r="AF12" s="142" t="str">
        <f>IF(D12&gt;0,IF(ISERROR(AVERAGE(W12:X12)),0,AVERAGE(W12:X12)),"")</f>
        <v/>
      </c>
      <c r="AG12" s="143" t="str">
        <f>IF(D12&gt;0,Z12*$X$1+AA12*$X$2+AB12*$X$3+AC12*$X$4+AD12*$X$5+AE12*$X$6+AF12*$X$7,"")</f>
        <v/>
      </c>
      <c r="AI12" s="17" t="str">
        <f>+'CORTE I '!AH12</f>
        <v/>
      </c>
      <c r="AJ12" s="18" t="str">
        <f>'CORTE II'!AG12</f>
        <v/>
      </c>
      <c r="AK12" s="18" t="str">
        <f>+'CORTE III'!AG12</f>
        <v/>
      </c>
      <c r="AL12" s="60">
        <v>4</v>
      </c>
      <c r="AM12" s="61">
        <v>5</v>
      </c>
      <c r="AN12" s="16"/>
      <c r="AO12" s="177">
        <f>IF('CORTE I '!D12&gt;0,'CORTE I '!$C$3*AI12+'CORTE I '!$C$4*'CORTE III'!AJ12+'CORTE I '!$C$5*'CORTE III'!AK12+'CORTE I '!$C$6*'CORTE III'!AL12+'CORTE I '!$C$7*'CORTE III'!AM12,0)</f>
        <v>0</v>
      </c>
      <c r="AP12" s="22"/>
      <c r="AQ12" s="133"/>
      <c r="AR12" s="128"/>
      <c r="AS12" s="128"/>
      <c r="AT12" s="128"/>
      <c r="AU12" s="230"/>
      <c r="AV12" s="231"/>
      <c r="AW12" s="232"/>
      <c r="AX12" s="230"/>
      <c r="AY12" s="231"/>
      <c r="AZ12" s="232"/>
    </row>
    <row r="13" spans="1:52" ht="15.75" thickBot="1" x14ac:dyDescent="0.3">
      <c r="A13" s="19">
        <v>2</v>
      </c>
      <c r="B13" s="36">
        <f>'CORTE I '!B13</f>
        <v>0</v>
      </c>
      <c r="C13" s="167">
        <f>'CORTE I '!C13</f>
        <v>0</v>
      </c>
      <c r="D13" s="153">
        <f>+'CORTE I '!D13</f>
        <v>0</v>
      </c>
      <c r="E13" s="35"/>
      <c r="F13" s="36"/>
      <c r="G13" s="37"/>
      <c r="H13" s="35"/>
      <c r="I13" s="36"/>
      <c r="J13" s="37"/>
      <c r="K13" s="35"/>
      <c r="L13" s="36"/>
      <c r="M13" s="37"/>
      <c r="N13" s="35"/>
      <c r="O13" s="84"/>
      <c r="P13" s="37"/>
      <c r="Q13" s="35"/>
      <c r="R13" s="84"/>
      <c r="S13" s="37"/>
      <c r="T13" s="35"/>
      <c r="U13" s="84"/>
      <c r="V13" s="37"/>
      <c r="W13" s="38"/>
      <c r="X13" s="37"/>
      <c r="Y13" s="59"/>
      <c r="Z13" s="35" t="str">
        <f t="shared" ref="Z13:Z64" si="0">IF(D13&gt;0,IF(ISERROR(AVERAGE(E13:G13)),0,AVERAGE(E13:G13)),"")</f>
        <v/>
      </c>
      <c r="AA13" s="36" t="str">
        <f t="shared" ref="AA13:AA64" si="1">IF(D13&gt;0,IF(ISERROR(AVERAGE(H13:J13)),0,AVERAGE(H13:J13)),"")</f>
        <v/>
      </c>
      <c r="AB13" s="36" t="str">
        <f t="shared" ref="AB13:AB64" si="2">IF(D13&gt;0,IF(ISERROR(AVERAGE(K13:M13)),0,AVERAGE(K13:M13)),"")</f>
        <v/>
      </c>
      <c r="AC13" s="102" t="str">
        <f t="shared" ref="AC13:AC64" si="3">IF(D13&gt;0,IF(ISERROR(AVERAGE(N13:P13)),0,AVERAGE(N13:P13)),"")</f>
        <v/>
      </c>
      <c r="AD13" s="102" t="str">
        <f t="shared" ref="AD13:AD64" si="4">IF(D13&gt;0,IF(ISERROR(AVERAGE(Q13:S13)),0,AVERAGE(Q13:S13)),"")</f>
        <v/>
      </c>
      <c r="AE13" s="102" t="str">
        <f t="shared" ref="AE13:AE64" si="5">IF(D13&gt;0,IF(ISERROR(AVERAGE(T13:V13)),0,AVERAGE(T13:V13)),"")</f>
        <v/>
      </c>
      <c r="AF13" s="36" t="str">
        <f t="shared" ref="AF13:AF64" si="6">IF(D13&gt;0,IF(ISERROR(AVERAGE(W13:X13)),0,AVERAGE(W13:X13)),"")</f>
        <v/>
      </c>
      <c r="AG13" s="143" t="str">
        <f t="shared" ref="AG13:AG64" si="7">IF(D13&gt;0,Z13*$X$1+AA13*$X$2+AB13*$X$3+AC13*$X$4+AD13*$X$5+AE13*$X$6+AF13*$X$7,"")</f>
        <v/>
      </c>
      <c r="AI13" s="21" t="str">
        <f>+'CORTE I '!AH13</f>
        <v/>
      </c>
      <c r="AJ13" s="22" t="str">
        <f>+'CORTE II'!AG13</f>
        <v/>
      </c>
      <c r="AK13" s="22" t="str">
        <f>+'CORTE III'!AG13</f>
        <v/>
      </c>
      <c r="AL13" s="22"/>
      <c r="AM13" s="20"/>
      <c r="AN13" s="16"/>
      <c r="AO13" s="177">
        <f>IF('CORTE I '!D13&gt;0,'CORTE I '!$C$3*AI13+'CORTE I '!$C$4*'CORTE III'!AJ13+'CORTE I '!$C$5*'CORTE III'!AK13+'CORTE I '!$C$6*'CORTE III'!AL13+'CORTE I '!$C$7*'CORTE III'!AM13,0)</f>
        <v>0</v>
      </c>
      <c r="AP13" s="22"/>
      <c r="AQ13" s="133"/>
      <c r="AR13" s="129"/>
      <c r="AS13" s="129"/>
      <c r="AT13" s="129"/>
      <c r="AU13" s="236"/>
      <c r="AV13" s="237"/>
      <c r="AW13" s="238"/>
      <c r="AX13" s="236"/>
      <c r="AY13" s="237"/>
      <c r="AZ13" s="238"/>
    </row>
    <row r="14" spans="1:52" ht="15.75" thickBot="1" x14ac:dyDescent="0.3">
      <c r="A14" s="107">
        <v>3</v>
      </c>
      <c r="B14" s="108">
        <f>'CORTE I '!B14</f>
        <v>0</v>
      </c>
      <c r="C14" s="108">
        <f>'CORTE I '!C14</f>
        <v>0</v>
      </c>
      <c r="D14" s="154">
        <f>+'CORTE I '!D14</f>
        <v>0</v>
      </c>
      <c r="E14" s="43"/>
      <c r="F14" s="44"/>
      <c r="G14" s="45"/>
      <c r="H14" s="43"/>
      <c r="I14" s="44"/>
      <c r="J14" s="45"/>
      <c r="K14" s="43"/>
      <c r="L14" s="44"/>
      <c r="M14" s="45"/>
      <c r="N14" s="43"/>
      <c r="O14" s="85"/>
      <c r="P14" s="45"/>
      <c r="Q14" s="43"/>
      <c r="R14" s="85"/>
      <c r="S14" s="45"/>
      <c r="T14" s="43"/>
      <c r="U14" s="85"/>
      <c r="V14" s="45"/>
      <c r="W14" s="46"/>
      <c r="X14" s="45"/>
      <c r="Y14" s="59"/>
      <c r="Z14" s="43" t="str">
        <f t="shared" si="0"/>
        <v/>
      </c>
      <c r="AA14" s="44" t="str">
        <f t="shared" si="1"/>
        <v/>
      </c>
      <c r="AB14" s="44" t="str">
        <f t="shared" si="2"/>
        <v/>
      </c>
      <c r="AC14" s="101" t="str">
        <f t="shared" si="3"/>
        <v/>
      </c>
      <c r="AD14" s="101" t="str">
        <f t="shared" si="4"/>
        <v/>
      </c>
      <c r="AE14" s="101" t="str">
        <f t="shared" si="5"/>
        <v/>
      </c>
      <c r="AF14" s="44" t="str">
        <f t="shared" si="6"/>
        <v/>
      </c>
      <c r="AG14" s="143" t="str">
        <f t="shared" si="7"/>
        <v/>
      </c>
      <c r="AI14" s="21" t="str">
        <f>+'CORTE I '!AH14</f>
        <v/>
      </c>
      <c r="AJ14" s="22" t="str">
        <f>+'CORTE II'!AG14</f>
        <v/>
      </c>
      <c r="AK14" s="22" t="str">
        <f>+'CORTE III'!AG14</f>
        <v/>
      </c>
      <c r="AL14" s="62"/>
      <c r="AM14" s="63"/>
      <c r="AN14" s="16"/>
      <c r="AO14" s="177">
        <f>IF('CORTE I '!D14&gt;0,'CORTE I '!$C$3*AI14+'CORTE I '!$C$4*'CORTE III'!AJ14+'CORTE I '!$C$5*'CORTE III'!AK14+'CORTE I '!$C$6*'CORTE III'!AL14+'CORTE I '!$C$7*'CORTE III'!AM14,0)</f>
        <v>0</v>
      </c>
      <c r="AP14" s="22"/>
      <c r="AQ14" s="133"/>
      <c r="AR14" s="128"/>
      <c r="AS14" s="128"/>
      <c r="AT14" s="128"/>
      <c r="AU14" s="230"/>
      <c r="AV14" s="231"/>
      <c r="AW14" s="232"/>
      <c r="AX14" s="230"/>
      <c r="AY14" s="231"/>
      <c r="AZ14" s="232"/>
    </row>
    <row r="15" spans="1:52" ht="15.75" thickBot="1" x14ac:dyDescent="0.3">
      <c r="A15" s="19">
        <v>4</v>
      </c>
      <c r="B15" s="36">
        <f>'CORTE I '!B15</f>
        <v>0</v>
      </c>
      <c r="C15" s="36">
        <f>'CORTE I '!C15</f>
        <v>0</v>
      </c>
      <c r="D15" s="153">
        <f>+'CORTE I '!D15</f>
        <v>0</v>
      </c>
      <c r="E15" s="35"/>
      <c r="F15" s="36"/>
      <c r="G15" s="37"/>
      <c r="H15" s="35"/>
      <c r="I15" s="36"/>
      <c r="J15" s="37"/>
      <c r="K15" s="35"/>
      <c r="L15" s="36"/>
      <c r="M15" s="37"/>
      <c r="N15" s="35"/>
      <c r="O15" s="84"/>
      <c r="P15" s="37"/>
      <c r="Q15" s="35"/>
      <c r="R15" s="84"/>
      <c r="S15" s="37"/>
      <c r="T15" s="35"/>
      <c r="U15" s="84"/>
      <c r="V15" s="37"/>
      <c r="W15" s="38"/>
      <c r="X15" s="37"/>
      <c r="Y15" s="59"/>
      <c r="Z15" s="35" t="str">
        <f t="shared" si="0"/>
        <v/>
      </c>
      <c r="AA15" s="36" t="str">
        <f t="shared" si="1"/>
        <v/>
      </c>
      <c r="AB15" s="36" t="str">
        <f t="shared" si="2"/>
        <v/>
      </c>
      <c r="AC15" s="102" t="str">
        <f t="shared" si="3"/>
        <v/>
      </c>
      <c r="AD15" s="102" t="str">
        <f t="shared" si="4"/>
        <v/>
      </c>
      <c r="AE15" s="102" t="str">
        <f t="shared" si="5"/>
        <v/>
      </c>
      <c r="AF15" s="36" t="str">
        <f t="shared" si="6"/>
        <v/>
      </c>
      <c r="AG15" s="143" t="str">
        <f t="shared" si="7"/>
        <v/>
      </c>
      <c r="AI15" s="21" t="str">
        <f>+'CORTE I '!AH15</f>
        <v/>
      </c>
      <c r="AJ15" s="22" t="str">
        <f>+'CORTE II'!AG15</f>
        <v/>
      </c>
      <c r="AK15" s="22" t="str">
        <f>+'CORTE III'!AG15</f>
        <v/>
      </c>
      <c r="AL15" s="22"/>
      <c r="AM15" s="20"/>
      <c r="AN15" s="16"/>
      <c r="AO15" s="177">
        <f>IF('CORTE I '!D15&gt;0,'CORTE I '!$C$3*AI15+'CORTE I '!$C$4*'CORTE III'!AJ15+'CORTE I '!$C$5*'CORTE III'!AK15+'CORTE I '!$C$6*'CORTE III'!AL15+'CORTE I '!$C$7*'CORTE III'!AM15,0)</f>
        <v>0</v>
      </c>
      <c r="AP15" s="22"/>
      <c r="AQ15" s="133"/>
      <c r="AR15" s="129"/>
      <c r="AS15" s="129"/>
      <c r="AT15" s="129"/>
      <c r="AU15" s="236"/>
      <c r="AV15" s="237"/>
      <c r="AW15" s="238"/>
      <c r="AX15" s="236"/>
      <c r="AY15" s="237"/>
      <c r="AZ15" s="238"/>
    </row>
    <row r="16" spans="1:52" ht="15.75" thickBot="1" x14ac:dyDescent="0.3">
      <c r="A16" s="107">
        <v>5</v>
      </c>
      <c r="B16" s="108">
        <f>'CORTE I '!B16</f>
        <v>0</v>
      </c>
      <c r="C16" s="108">
        <f>'CORTE I '!C16</f>
        <v>0</v>
      </c>
      <c r="D16" s="154">
        <f>+'CORTE I '!D16</f>
        <v>0</v>
      </c>
      <c r="E16" s="43"/>
      <c r="F16" s="44"/>
      <c r="G16" s="45"/>
      <c r="H16" s="43"/>
      <c r="I16" s="44"/>
      <c r="J16" s="45"/>
      <c r="K16" s="43"/>
      <c r="L16" s="44"/>
      <c r="M16" s="45"/>
      <c r="N16" s="43"/>
      <c r="O16" s="85"/>
      <c r="P16" s="45"/>
      <c r="Q16" s="43"/>
      <c r="R16" s="85"/>
      <c r="S16" s="45"/>
      <c r="T16" s="43"/>
      <c r="U16" s="85"/>
      <c r="V16" s="45"/>
      <c r="W16" s="46"/>
      <c r="X16" s="45"/>
      <c r="Y16" s="59"/>
      <c r="Z16" s="43" t="str">
        <f t="shared" si="0"/>
        <v/>
      </c>
      <c r="AA16" s="44" t="str">
        <f t="shared" si="1"/>
        <v/>
      </c>
      <c r="AB16" s="44" t="str">
        <f t="shared" si="2"/>
        <v/>
      </c>
      <c r="AC16" s="101" t="str">
        <f t="shared" si="3"/>
        <v/>
      </c>
      <c r="AD16" s="101" t="str">
        <f t="shared" si="4"/>
        <v/>
      </c>
      <c r="AE16" s="101" t="str">
        <f t="shared" si="5"/>
        <v/>
      </c>
      <c r="AF16" s="44" t="str">
        <f t="shared" si="6"/>
        <v/>
      </c>
      <c r="AG16" s="143" t="str">
        <f t="shared" si="7"/>
        <v/>
      </c>
      <c r="AI16" s="21" t="str">
        <f>+'CORTE I '!AH16</f>
        <v/>
      </c>
      <c r="AJ16" s="22" t="str">
        <f>+'CORTE II'!AG16</f>
        <v/>
      </c>
      <c r="AK16" s="22" t="str">
        <f>+'CORTE III'!AG16</f>
        <v/>
      </c>
      <c r="AL16" s="62"/>
      <c r="AM16" s="63"/>
      <c r="AN16" s="16"/>
      <c r="AO16" s="177">
        <f>IF('CORTE I '!D16&gt;0,'CORTE I '!$C$3*AI16+'CORTE I '!$C$4*'CORTE III'!AJ16+'CORTE I '!$C$5*'CORTE III'!AK16+'CORTE I '!$C$6*'CORTE III'!AL16+'CORTE I '!$C$7*'CORTE III'!AM16,0)</f>
        <v>0</v>
      </c>
      <c r="AP16" s="22"/>
      <c r="AQ16" s="133"/>
      <c r="AR16" s="128"/>
      <c r="AS16" s="128"/>
      <c r="AT16" s="128"/>
      <c r="AU16" s="230"/>
      <c r="AV16" s="231"/>
      <c r="AW16" s="232"/>
      <c r="AX16" s="230"/>
      <c r="AY16" s="231"/>
      <c r="AZ16" s="232"/>
    </row>
    <row r="17" spans="1:52" ht="15.75" thickBot="1" x14ac:dyDescent="0.3">
      <c r="A17" s="19">
        <v>6</v>
      </c>
      <c r="B17" s="36">
        <f>'CORTE I '!B17</f>
        <v>0</v>
      </c>
      <c r="C17" s="36">
        <f>'CORTE I '!C17</f>
        <v>0</v>
      </c>
      <c r="D17" s="153">
        <f>+'CORTE I '!D17</f>
        <v>0</v>
      </c>
      <c r="E17" s="35"/>
      <c r="F17" s="36"/>
      <c r="G17" s="37"/>
      <c r="H17" s="35"/>
      <c r="I17" s="36"/>
      <c r="J17" s="37"/>
      <c r="K17" s="35"/>
      <c r="L17" s="36"/>
      <c r="M17" s="37"/>
      <c r="N17" s="35"/>
      <c r="O17" s="84"/>
      <c r="P17" s="37"/>
      <c r="Q17" s="35"/>
      <c r="R17" s="84"/>
      <c r="S17" s="37"/>
      <c r="T17" s="35"/>
      <c r="U17" s="84"/>
      <c r="V17" s="37"/>
      <c r="W17" s="38"/>
      <c r="X17" s="37"/>
      <c r="Y17" s="59"/>
      <c r="Z17" s="35" t="str">
        <f t="shared" si="0"/>
        <v/>
      </c>
      <c r="AA17" s="36" t="str">
        <f t="shared" si="1"/>
        <v/>
      </c>
      <c r="AB17" s="36" t="str">
        <f t="shared" si="2"/>
        <v/>
      </c>
      <c r="AC17" s="102" t="str">
        <f t="shared" si="3"/>
        <v/>
      </c>
      <c r="AD17" s="102" t="str">
        <f t="shared" si="4"/>
        <v/>
      </c>
      <c r="AE17" s="102" t="str">
        <f t="shared" si="5"/>
        <v/>
      </c>
      <c r="AF17" s="36" t="str">
        <f t="shared" si="6"/>
        <v/>
      </c>
      <c r="AG17" s="143" t="str">
        <f t="shared" si="7"/>
        <v/>
      </c>
      <c r="AI17" s="21" t="str">
        <f>+'CORTE I '!AH17</f>
        <v/>
      </c>
      <c r="AJ17" s="22" t="str">
        <f>+'CORTE II'!AG17</f>
        <v/>
      </c>
      <c r="AK17" s="22" t="str">
        <f>+'CORTE III'!AG17</f>
        <v/>
      </c>
      <c r="AL17" s="22"/>
      <c r="AM17" s="20"/>
      <c r="AN17" s="16"/>
      <c r="AO17" s="177">
        <f>IF('CORTE I '!D17&gt;0,'CORTE I '!$C$3*AI17+'CORTE I '!$C$4*'CORTE III'!AJ17+'CORTE I '!$C$5*'CORTE III'!AK17+'CORTE I '!$C$6*'CORTE III'!AL17+'CORTE I '!$C$7*'CORTE III'!AM17,0)</f>
        <v>0</v>
      </c>
      <c r="AP17" s="22"/>
      <c r="AQ17" s="133"/>
      <c r="AR17" s="129"/>
      <c r="AS17" s="129"/>
      <c r="AT17" s="129"/>
      <c r="AU17" s="236"/>
      <c r="AV17" s="237"/>
      <c r="AW17" s="238"/>
      <c r="AX17" s="236"/>
      <c r="AY17" s="237"/>
      <c r="AZ17" s="238"/>
    </row>
    <row r="18" spans="1:52" ht="15.75" thickBot="1" x14ac:dyDescent="0.3">
      <c r="A18" s="107">
        <v>7</v>
      </c>
      <c r="B18" s="108">
        <f>'CORTE I '!B18</f>
        <v>0</v>
      </c>
      <c r="C18" s="108">
        <f>'CORTE I '!C18</f>
        <v>0</v>
      </c>
      <c r="D18" s="154">
        <f>+'CORTE I '!D18</f>
        <v>0</v>
      </c>
      <c r="E18" s="43"/>
      <c r="F18" s="44"/>
      <c r="G18" s="45"/>
      <c r="H18" s="43"/>
      <c r="I18" s="44"/>
      <c r="J18" s="45"/>
      <c r="K18" s="43"/>
      <c r="L18" s="44"/>
      <c r="M18" s="45"/>
      <c r="N18" s="43"/>
      <c r="O18" s="85"/>
      <c r="P18" s="45"/>
      <c r="Q18" s="43"/>
      <c r="R18" s="85"/>
      <c r="S18" s="45"/>
      <c r="T18" s="43"/>
      <c r="U18" s="85"/>
      <c r="V18" s="45"/>
      <c r="W18" s="46"/>
      <c r="X18" s="45"/>
      <c r="Y18" s="59"/>
      <c r="Z18" s="43" t="str">
        <f t="shared" si="0"/>
        <v/>
      </c>
      <c r="AA18" s="44" t="str">
        <f t="shared" si="1"/>
        <v/>
      </c>
      <c r="AB18" s="44" t="str">
        <f t="shared" si="2"/>
        <v/>
      </c>
      <c r="AC18" s="101" t="str">
        <f t="shared" si="3"/>
        <v/>
      </c>
      <c r="AD18" s="101" t="str">
        <f t="shared" si="4"/>
        <v/>
      </c>
      <c r="AE18" s="101" t="str">
        <f t="shared" si="5"/>
        <v/>
      </c>
      <c r="AF18" s="44" t="str">
        <f t="shared" si="6"/>
        <v/>
      </c>
      <c r="AG18" s="143" t="str">
        <f t="shared" si="7"/>
        <v/>
      </c>
      <c r="AI18" s="21" t="str">
        <f>+'CORTE I '!AH18</f>
        <v/>
      </c>
      <c r="AJ18" s="22" t="str">
        <f>+'CORTE II'!AG18</f>
        <v/>
      </c>
      <c r="AK18" s="22" t="str">
        <f>+'CORTE III'!AG18</f>
        <v/>
      </c>
      <c r="AL18" s="62"/>
      <c r="AM18" s="63"/>
      <c r="AN18" s="16"/>
      <c r="AO18" s="177">
        <f>IF('CORTE I '!D18&gt;0,'CORTE I '!$C$3*AI18+'CORTE I '!$C$4*'CORTE III'!AJ18+'CORTE I '!$C$5*'CORTE III'!AK18+'CORTE I '!$C$6*'CORTE III'!AL18+'CORTE I '!$C$7*'CORTE III'!AM18,0)</f>
        <v>0</v>
      </c>
      <c r="AP18" s="22"/>
      <c r="AQ18" s="133"/>
      <c r="AR18" s="128"/>
      <c r="AS18" s="128"/>
      <c r="AT18" s="128"/>
      <c r="AU18" s="230"/>
      <c r="AV18" s="231"/>
      <c r="AW18" s="232"/>
      <c r="AX18" s="230"/>
      <c r="AY18" s="231"/>
      <c r="AZ18" s="232"/>
    </row>
    <row r="19" spans="1:52" ht="15.75" thickBot="1" x14ac:dyDescent="0.3">
      <c r="A19" s="19">
        <v>8</v>
      </c>
      <c r="B19" s="36">
        <f>'CORTE I '!B19</f>
        <v>0</v>
      </c>
      <c r="C19" s="36">
        <f>'CORTE I '!C19</f>
        <v>0</v>
      </c>
      <c r="D19" s="153">
        <f>+'CORTE I '!D19</f>
        <v>0</v>
      </c>
      <c r="E19" s="35"/>
      <c r="F19" s="36"/>
      <c r="G19" s="37"/>
      <c r="H19" s="35"/>
      <c r="I19" s="36"/>
      <c r="J19" s="37"/>
      <c r="K19" s="35"/>
      <c r="L19" s="36"/>
      <c r="M19" s="37"/>
      <c r="N19" s="35"/>
      <c r="O19" s="84"/>
      <c r="P19" s="37"/>
      <c r="Q19" s="35"/>
      <c r="R19" s="84"/>
      <c r="S19" s="37"/>
      <c r="T19" s="35"/>
      <c r="U19" s="84"/>
      <c r="V19" s="37"/>
      <c r="W19" s="38"/>
      <c r="X19" s="37"/>
      <c r="Y19" s="59"/>
      <c r="Z19" s="35" t="str">
        <f t="shared" si="0"/>
        <v/>
      </c>
      <c r="AA19" s="36" t="str">
        <f t="shared" si="1"/>
        <v/>
      </c>
      <c r="AB19" s="36" t="str">
        <f t="shared" si="2"/>
        <v/>
      </c>
      <c r="AC19" s="102" t="str">
        <f t="shared" si="3"/>
        <v/>
      </c>
      <c r="AD19" s="102" t="str">
        <f t="shared" si="4"/>
        <v/>
      </c>
      <c r="AE19" s="102" t="str">
        <f t="shared" si="5"/>
        <v/>
      </c>
      <c r="AF19" s="36" t="str">
        <f t="shared" si="6"/>
        <v/>
      </c>
      <c r="AG19" s="143" t="str">
        <f t="shared" si="7"/>
        <v/>
      </c>
      <c r="AI19" s="21" t="str">
        <f>+'CORTE I '!AH19</f>
        <v/>
      </c>
      <c r="AJ19" s="22" t="str">
        <f>+'CORTE II'!AG19</f>
        <v/>
      </c>
      <c r="AK19" s="22" t="str">
        <f>+'CORTE III'!AG19</f>
        <v/>
      </c>
      <c r="AL19" s="22"/>
      <c r="AM19" s="20"/>
      <c r="AN19" s="16"/>
      <c r="AO19" s="177">
        <f>IF('CORTE I '!D19&gt;0,'CORTE I '!$C$3*AI19+'CORTE I '!$C$4*'CORTE III'!AJ19+'CORTE I '!$C$5*'CORTE III'!AK19+'CORTE I '!$C$6*'CORTE III'!AL19+'CORTE I '!$C$7*'CORTE III'!AM19,0)</f>
        <v>0</v>
      </c>
      <c r="AP19" s="22"/>
      <c r="AQ19" s="133"/>
      <c r="AR19" s="129"/>
      <c r="AS19" s="129"/>
      <c r="AT19" s="129"/>
      <c r="AU19" s="236"/>
      <c r="AV19" s="237"/>
      <c r="AW19" s="238"/>
      <c r="AX19" s="236"/>
      <c r="AY19" s="237"/>
      <c r="AZ19" s="238"/>
    </row>
    <row r="20" spans="1:52" ht="15.75" thickBot="1" x14ac:dyDescent="0.3">
      <c r="A20" s="107">
        <v>9</v>
      </c>
      <c r="B20" s="108">
        <f>'CORTE I '!B20</f>
        <v>0</v>
      </c>
      <c r="C20" s="108">
        <f>'CORTE I '!C20</f>
        <v>0</v>
      </c>
      <c r="D20" s="154">
        <f>+'CORTE I '!D20</f>
        <v>0</v>
      </c>
      <c r="E20" s="43"/>
      <c r="F20" s="44"/>
      <c r="G20" s="45"/>
      <c r="H20" s="43"/>
      <c r="I20" s="44"/>
      <c r="J20" s="45"/>
      <c r="K20" s="43"/>
      <c r="L20" s="44"/>
      <c r="M20" s="45"/>
      <c r="N20" s="43"/>
      <c r="O20" s="85"/>
      <c r="P20" s="45"/>
      <c r="Q20" s="43"/>
      <c r="R20" s="85"/>
      <c r="S20" s="45"/>
      <c r="T20" s="43"/>
      <c r="U20" s="85"/>
      <c r="V20" s="45"/>
      <c r="W20" s="46"/>
      <c r="X20" s="45"/>
      <c r="Y20" s="59"/>
      <c r="Z20" s="43" t="str">
        <f t="shared" si="0"/>
        <v/>
      </c>
      <c r="AA20" s="44" t="str">
        <f t="shared" si="1"/>
        <v/>
      </c>
      <c r="AB20" s="44" t="str">
        <f t="shared" si="2"/>
        <v/>
      </c>
      <c r="AC20" s="101" t="str">
        <f t="shared" si="3"/>
        <v/>
      </c>
      <c r="AD20" s="101" t="str">
        <f t="shared" si="4"/>
        <v/>
      </c>
      <c r="AE20" s="101" t="str">
        <f t="shared" si="5"/>
        <v/>
      </c>
      <c r="AF20" s="44" t="str">
        <f t="shared" si="6"/>
        <v/>
      </c>
      <c r="AG20" s="143" t="str">
        <f t="shared" si="7"/>
        <v/>
      </c>
      <c r="AI20" s="21" t="str">
        <f>+'CORTE I '!AH20</f>
        <v/>
      </c>
      <c r="AJ20" s="22" t="str">
        <f>+'CORTE II'!AG20</f>
        <v/>
      </c>
      <c r="AK20" s="22" t="str">
        <f>+'CORTE III'!AG20</f>
        <v/>
      </c>
      <c r="AL20" s="62"/>
      <c r="AM20" s="63"/>
      <c r="AN20" s="16"/>
      <c r="AO20" s="177">
        <f>IF('CORTE I '!D20&gt;0,'CORTE I '!$C$3*AI20+'CORTE I '!$C$4*'CORTE III'!AJ20+'CORTE I '!$C$5*'CORTE III'!AK20+'CORTE I '!$C$6*'CORTE III'!AL20+'CORTE I '!$C$7*'CORTE III'!AM20,0)</f>
        <v>0</v>
      </c>
      <c r="AP20" s="22"/>
      <c r="AQ20" s="133"/>
      <c r="AR20" s="128"/>
      <c r="AS20" s="128"/>
      <c r="AT20" s="128"/>
      <c r="AU20" s="230"/>
      <c r="AV20" s="231"/>
      <c r="AW20" s="232"/>
      <c r="AX20" s="230"/>
      <c r="AY20" s="231"/>
      <c r="AZ20" s="232"/>
    </row>
    <row r="21" spans="1:52" ht="15.75" thickBot="1" x14ac:dyDescent="0.3">
      <c r="A21" s="19">
        <v>10</v>
      </c>
      <c r="B21" s="36">
        <f>'CORTE I '!B21</f>
        <v>0</v>
      </c>
      <c r="C21" s="36">
        <f>'CORTE I '!C21</f>
        <v>0</v>
      </c>
      <c r="D21" s="153">
        <f>+'CORTE I '!D21</f>
        <v>0</v>
      </c>
      <c r="E21" s="35"/>
      <c r="F21" s="36"/>
      <c r="G21" s="37"/>
      <c r="H21" s="35"/>
      <c r="I21" s="36"/>
      <c r="J21" s="37"/>
      <c r="K21" s="35"/>
      <c r="L21" s="36"/>
      <c r="M21" s="37"/>
      <c r="N21" s="35"/>
      <c r="O21" s="84"/>
      <c r="P21" s="37"/>
      <c r="Q21" s="35"/>
      <c r="R21" s="84"/>
      <c r="S21" s="37"/>
      <c r="T21" s="35"/>
      <c r="U21" s="84"/>
      <c r="V21" s="37"/>
      <c r="W21" s="38"/>
      <c r="X21" s="37"/>
      <c r="Y21" s="59"/>
      <c r="Z21" s="35" t="str">
        <f t="shared" si="0"/>
        <v/>
      </c>
      <c r="AA21" s="36" t="str">
        <f t="shared" si="1"/>
        <v/>
      </c>
      <c r="AB21" s="36" t="str">
        <f t="shared" si="2"/>
        <v/>
      </c>
      <c r="AC21" s="102" t="str">
        <f t="shared" si="3"/>
        <v/>
      </c>
      <c r="AD21" s="102" t="str">
        <f t="shared" si="4"/>
        <v/>
      </c>
      <c r="AE21" s="102" t="str">
        <f t="shared" si="5"/>
        <v/>
      </c>
      <c r="AF21" s="36" t="str">
        <f t="shared" si="6"/>
        <v/>
      </c>
      <c r="AG21" s="143" t="str">
        <f t="shared" si="7"/>
        <v/>
      </c>
      <c r="AI21" s="21" t="str">
        <f>+'CORTE I '!AH21</f>
        <v/>
      </c>
      <c r="AJ21" s="22" t="str">
        <f>+'CORTE II'!AG21</f>
        <v/>
      </c>
      <c r="AK21" s="22" t="str">
        <f>+'CORTE III'!AG21</f>
        <v/>
      </c>
      <c r="AL21" s="22"/>
      <c r="AM21" s="20"/>
      <c r="AN21" s="16"/>
      <c r="AO21" s="177">
        <f>IF('CORTE I '!D21&gt;0,'CORTE I '!$C$3*AI21+'CORTE I '!$C$4*'CORTE III'!AJ21+'CORTE I '!$C$5*'CORTE III'!AK21+'CORTE I '!$C$6*'CORTE III'!AL21+'CORTE I '!$C$7*'CORTE III'!AM21,0)</f>
        <v>0</v>
      </c>
      <c r="AP21" s="22"/>
      <c r="AQ21" s="133"/>
      <c r="AR21" s="129"/>
      <c r="AS21" s="129"/>
      <c r="AT21" s="129"/>
      <c r="AU21" s="236"/>
      <c r="AV21" s="237"/>
      <c r="AW21" s="238"/>
      <c r="AX21" s="236"/>
      <c r="AY21" s="237"/>
      <c r="AZ21" s="238"/>
    </row>
    <row r="22" spans="1:52" ht="15.75" thickBot="1" x14ac:dyDescent="0.3">
      <c r="A22" s="107">
        <v>11</v>
      </c>
      <c r="B22" s="108">
        <f>'CORTE I '!B22</f>
        <v>0</v>
      </c>
      <c r="C22" s="108">
        <f>'CORTE I '!C22</f>
        <v>0</v>
      </c>
      <c r="D22" s="154">
        <f>+'CORTE I '!D22</f>
        <v>0</v>
      </c>
      <c r="E22" s="43"/>
      <c r="F22" s="44"/>
      <c r="G22" s="45"/>
      <c r="H22" s="43"/>
      <c r="I22" s="44"/>
      <c r="J22" s="45"/>
      <c r="K22" s="43"/>
      <c r="L22" s="44"/>
      <c r="M22" s="45"/>
      <c r="N22" s="43"/>
      <c r="O22" s="85"/>
      <c r="P22" s="45"/>
      <c r="Q22" s="43"/>
      <c r="R22" s="85"/>
      <c r="S22" s="45"/>
      <c r="T22" s="43"/>
      <c r="U22" s="85"/>
      <c r="V22" s="45"/>
      <c r="W22" s="46"/>
      <c r="X22" s="45"/>
      <c r="Y22" s="59"/>
      <c r="Z22" s="43" t="str">
        <f t="shared" si="0"/>
        <v/>
      </c>
      <c r="AA22" s="44" t="str">
        <f t="shared" si="1"/>
        <v/>
      </c>
      <c r="AB22" s="44" t="str">
        <f t="shared" si="2"/>
        <v/>
      </c>
      <c r="AC22" s="101" t="str">
        <f t="shared" si="3"/>
        <v/>
      </c>
      <c r="AD22" s="101" t="str">
        <f t="shared" si="4"/>
        <v/>
      </c>
      <c r="AE22" s="101" t="str">
        <f t="shared" si="5"/>
        <v/>
      </c>
      <c r="AF22" s="44" t="str">
        <f t="shared" si="6"/>
        <v/>
      </c>
      <c r="AG22" s="143" t="str">
        <f t="shared" si="7"/>
        <v/>
      </c>
      <c r="AI22" s="21" t="str">
        <f>+'CORTE I '!AH22</f>
        <v/>
      </c>
      <c r="AJ22" s="22" t="str">
        <f>+'CORTE II'!AG22</f>
        <v/>
      </c>
      <c r="AK22" s="22" t="str">
        <f>+'CORTE III'!AG22</f>
        <v/>
      </c>
      <c r="AL22" s="62"/>
      <c r="AM22" s="63"/>
      <c r="AN22" s="16"/>
      <c r="AO22" s="177">
        <f>IF('CORTE I '!D22&gt;0,'CORTE I '!$C$3*AI22+'CORTE I '!$C$4*'CORTE III'!AJ22+'CORTE I '!$C$5*'CORTE III'!AK22+'CORTE I '!$C$6*'CORTE III'!AL22+'CORTE I '!$C$7*'CORTE III'!AM22,0)</f>
        <v>0</v>
      </c>
      <c r="AP22" s="22"/>
      <c r="AQ22" s="133"/>
      <c r="AR22" s="128"/>
      <c r="AS22" s="128"/>
      <c r="AT22" s="128"/>
      <c r="AU22" s="230"/>
      <c r="AV22" s="231"/>
      <c r="AW22" s="232"/>
      <c r="AX22" s="230"/>
      <c r="AY22" s="231"/>
      <c r="AZ22" s="232"/>
    </row>
    <row r="23" spans="1:52" ht="15.75" thickBot="1" x14ac:dyDescent="0.3">
      <c r="A23" s="19">
        <v>12</v>
      </c>
      <c r="B23" s="36">
        <f>'CORTE I '!B23</f>
        <v>0</v>
      </c>
      <c r="C23" s="36">
        <f>'CORTE I '!C23</f>
        <v>0</v>
      </c>
      <c r="D23" s="153">
        <f>+'CORTE I '!D23</f>
        <v>0</v>
      </c>
      <c r="E23" s="35"/>
      <c r="F23" s="36"/>
      <c r="G23" s="37"/>
      <c r="H23" s="35"/>
      <c r="I23" s="36"/>
      <c r="J23" s="37"/>
      <c r="K23" s="35"/>
      <c r="L23" s="36"/>
      <c r="M23" s="37"/>
      <c r="N23" s="35"/>
      <c r="O23" s="84"/>
      <c r="P23" s="37"/>
      <c r="Q23" s="35"/>
      <c r="R23" s="84"/>
      <c r="S23" s="37"/>
      <c r="T23" s="35"/>
      <c r="U23" s="84"/>
      <c r="V23" s="37"/>
      <c r="W23" s="38"/>
      <c r="X23" s="37"/>
      <c r="Y23" s="59"/>
      <c r="Z23" s="35" t="str">
        <f t="shared" si="0"/>
        <v/>
      </c>
      <c r="AA23" s="36" t="str">
        <f t="shared" si="1"/>
        <v/>
      </c>
      <c r="AB23" s="36" t="str">
        <f t="shared" si="2"/>
        <v/>
      </c>
      <c r="AC23" s="102" t="str">
        <f t="shared" si="3"/>
        <v/>
      </c>
      <c r="AD23" s="102" t="str">
        <f t="shared" si="4"/>
        <v/>
      </c>
      <c r="AE23" s="102" t="str">
        <f t="shared" si="5"/>
        <v/>
      </c>
      <c r="AF23" s="36" t="str">
        <f t="shared" si="6"/>
        <v/>
      </c>
      <c r="AG23" s="143" t="str">
        <f t="shared" si="7"/>
        <v/>
      </c>
      <c r="AI23" s="21" t="str">
        <f>+'CORTE I '!AH23</f>
        <v/>
      </c>
      <c r="AJ23" s="22" t="str">
        <f>+'CORTE II'!AG23</f>
        <v/>
      </c>
      <c r="AK23" s="22" t="str">
        <f>+'CORTE III'!AG23</f>
        <v/>
      </c>
      <c r="AL23" s="22"/>
      <c r="AM23" s="20"/>
      <c r="AN23" s="16"/>
      <c r="AO23" s="177">
        <f>IF('CORTE I '!D23&gt;0,'CORTE I '!$C$3*AI23+'CORTE I '!$C$4*'CORTE III'!AJ23+'CORTE I '!$C$5*'CORTE III'!AK23+'CORTE I '!$C$6*'CORTE III'!AL23+'CORTE I '!$C$7*'CORTE III'!AM23,0)</f>
        <v>0</v>
      </c>
      <c r="AP23" s="22"/>
      <c r="AQ23" s="133"/>
      <c r="AR23" s="129"/>
      <c r="AS23" s="129"/>
      <c r="AT23" s="129"/>
      <c r="AU23" s="236"/>
      <c r="AV23" s="237"/>
      <c r="AW23" s="238"/>
      <c r="AX23" s="236"/>
      <c r="AY23" s="237"/>
      <c r="AZ23" s="238"/>
    </row>
    <row r="24" spans="1:52" ht="15.75" thickBot="1" x14ac:dyDescent="0.3">
      <c r="A24" s="107">
        <v>13</v>
      </c>
      <c r="B24" s="108">
        <f>'CORTE I '!B24</f>
        <v>0</v>
      </c>
      <c r="C24" s="108">
        <f>'CORTE I '!C24</f>
        <v>0</v>
      </c>
      <c r="D24" s="154">
        <f>+'CORTE I '!D24</f>
        <v>0</v>
      </c>
      <c r="E24" s="43"/>
      <c r="F24" s="44"/>
      <c r="G24" s="45"/>
      <c r="H24" s="43"/>
      <c r="I24" s="44"/>
      <c r="J24" s="45"/>
      <c r="K24" s="43"/>
      <c r="L24" s="44"/>
      <c r="M24" s="45"/>
      <c r="N24" s="43"/>
      <c r="O24" s="85"/>
      <c r="P24" s="45"/>
      <c r="Q24" s="43"/>
      <c r="R24" s="85"/>
      <c r="S24" s="45"/>
      <c r="T24" s="43"/>
      <c r="U24" s="85"/>
      <c r="V24" s="45"/>
      <c r="W24" s="46"/>
      <c r="X24" s="45"/>
      <c r="Y24" s="59"/>
      <c r="Z24" s="43" t="str">
        <f t="shared" si="0"/>
        <v/>
      </c>
      <c r="AA24" s="44" t="str">
        <f t="shared" si="1"/>
        <v/>
      </c>
      <c r="AB24" s="44" t="str">
        <f t="shared" si="2"/>
        <v/>
      </c>
      <c r="AC24" s="101" t="str">
        <f t="shared" si="3"/>
        <v/>
      </c>
      <c r="AD24" s="101" t="str">
        <f t="shared" si="4"/>
        <v/>
      </c>
      <c r="AE24" s="101" t="str">
        <f t="shared" si="5"/>
        <v/>
      </c>
      <c r="AF24" s="44" t="str">
        <f t="shared" si="6"/>
        <v/>
      </c>
      <c r="AG24" s="143" t="str">
        <f t="shared" si="7"/>
        <v/>
      </c>
      <c r="AI24" s="21" t="str">
        <f>+'CORTE I '!AH24</f>
        <v/>
      </c>
      <c r="AJ24" s="22" t="str">
        <f>+'CORTE II'!AG24</f>
        <v/>
      </c>
      <c r="AK24" s="22" t="str">
        <f>+'CORTE III'!AG24</f>
        <v/>
      </c>
      <c r="AL24" s="62"/>
      <c r="AM24" s="63"/>
      <c r="AN24" s="16"/>
      <c r="AO24" s="177">
        <f>IF('CORTE I '!D24&gt;0,'CORTE I '!$C$3*AI24+'CORTE I '!$C$4*'CORTE III'!AJ24+'CORTE I '!$C$5*'CORTE III'!AK24+'CORTE I '!$C$6*'CORTE III'!AL24+'CORTE I '!$C$7*'CORTE III'!AM24,0)</f>
        <v>0</v>
      </c>
      <c r="AP24" s="22"/>
      <c r="AQ24" s="133"/>
      <c r="AR24" s="128"/>
      <c r="AS24" s="128"/>
      <c r="AT24" s="128"/>
      <c r="AU24" s="230"/>
      <c r="AV24" s="231"/>
      <c r="AW24" s="232"/>
      <c r="AX24" s="230"/>
      <c r="AY24" s="231"/>
      <c r="AZ24" s="232"/>
    </row>
    <row r="25" spans="1:52" ht="15.75" thickBot="1" x14ac:dyDescent="0.3">
      <c r="A25" s="19">
        <v>14</v>
      </c>
      <c r="B25" s="36">
        <f>'CORTE I '!B25</f>
        <v>0</v>
      </c>
      <c r="C25" s="36">
        <f>'CORTE I '!C25</f>
        <v>0</v>
      </c>
      <c r="D25" s="153">
        <f>+'CORTE I '!D25</f>
        <v>0</v>
      </c>
      <c r="E25" s="35"/>
      <c r="F25" s="36"/>
      <c r="G25" s="37"/>
      <c r="H25" s="35"/>
      <c r="I25" s="36"/>
      <c r="J25" s="37"/>
      <c r="K25" s="35"/>
      <c r="L25" s="36"/>
      <c r="M25" s="37"/>
      <c r="N25" s="35"/>
      <c r="O25" s="84"/>
      <c r="P25" s="37"/>
      <c r="Q25" s="35"/>
      <c r="R25" s="84"/>
      <c r="S25" s="37"/>
      <c r="T25" s="35"/>
      <c r="U25" s="84"/>
      <c r="V25" s="37"/>
      <c r="W25" s="38"/>
      <c r="X25" s="37"/>
      <c r="Y25" s="59"/>
      <c r="Z25" s="35" t="str">
        <f t="shared" si="0"/>
        <v/>
      </c>
      <c r="AA25" s="36" t="str">
        <f t="shared" si="1"/>
        <v/>
      </c>
      <c r="AB25" s="36" t="str">
        <f t="shared" si="2"/>
        <v/>
      </c>
      <c r="AC25" s="102" t="str">
        <f t="shared" si="3"/>
        <v/>
      </c>
      <c r="AD25" s="102" t="str">
        <f t="shared" si="4"/>
        <v/>
      </c>
      <c r="AE25" s="102" t="str">
        <f t="shared" si="5"/>
        <v/>
      </c>
      <c r="AF25" s="36" t="str">
        <f t="shared" si="6"/>
        <v/>
      </c>
      <c r="AG25" s="143" t="str">
        <f t="shared" si="7"/>
        <v/>
      </c>
      <c r="AI25" s="21" t="str">
        <f>+'CORTE I '!AH25</f>
        <v/>
      </c>
      <c r="AJ25" s="22" t="str">
        <f>+'CORTE II'!AG25</f>
        <v/>
      </c>
      <c r="AK25" s="22" t="str">
        <f>+'CORTE III'!AG25</f>
        <v/>
      </c>
      <c r="AL25" s="22"/>
      <c r="AM25" s="20"/>
      <c r="AN25" s="16"/>
      <c r="AO25" s="177">
        <f>IF('CORTE I '!D25&gt;0,'CORTE I '!$C$3*AI25+'CORTE I '!$C$4*'CORTE III'!AJ25+'CORTE I '!$C$5*'CORTE III'!AK25+'CORTE I '!$C$6*'CORTE III'!AL25+'CORTE I '!$C$7*'CORTE III'!AM25,0)</f>
        <v>0</v>
      </c>
      <c r="AP25" s="22"/>
      <c r="AQ25" s="133"/>
      <c r="AR25" s="129"/>
      <c r="AS25" s="129"/>
      <c r="AT25" s="129"/>
      <c r="AU25" s="236"/>
      <c r="AV25" s="237"/>
      <c r="AW25" s="238"/>
      <c r="AX25" s="236"/>
      <c r="AY25" s="237"/>
      <c r="AZ25" s="238"/>
    </row>
    <row r="26" spans="1:52" ht="15.75" thickBot="1" x14ac:dyDescent="0.3">
      <c r="A26" s="107">
        <v>15</v>
      </c>
      <c r="B26" s="108">
        <f>'CORTE I '!B26</f>
        <v>0</v>
      </c>
      <c r="C26" s="108">
        <f>'CORTE I '!C26</f>
        <v>0</v>
      </c>
      <c r="D26" s="154">
        <f>+'CORTE I '!D26</f>
        <v>0</v>
      </c>
      <c r="E26" s="43"/>
      <c r="F26" s="44"/>
      <c r="G26" s="45"/>
      <c r="H26" s="43"/>
      <c r="I26" s="44"/>
      <c r="J26" s="45"/>
      <c r="K26" s="43"/>
      <c r="L26" s="44"/>
      <c r="M26" s="45"/>
      <c r="N26" s="43"/>
      <c r="O26" s="85"/>
      <c r="P26" s="45"/>
      <c r="Q26" s="43"/>
      <c r="R26" s="85"/>
      <c r="S26" s="45"/>
      <c r="T26" s="43"/>
      <c r="U26" s="85"/>
      <c r="V26" s="45"/>
      <c r="W26" s="46"/>
      <c r="X26" s="45"/>
      <c r="Y26" s="59"/>
      <c r="Z26" s="43" t="str">
        <f t="shared" si="0"/>
        <v/>
      </c>
      <c r="AA26" s="44" t="str">
        <f t="shared" si="1"/>
        <v/>
      </c>
      <c r="AB26" s="44" t="str">
        <f t="shared" si="2"/>
        <v/>
      </c>
      <c r="AC26" s="101" t="str">
        <f t="shared" si="3"/>
        <v/>
      </c>
      <c r="AD26" s="101" t="str">
        <f t="shared" si="4"/>
        <v/>
      </c>
      <c r="AE26" s="101" t="str">
        <f t="shared" si="5"/>
        <v/>
      </c>
      <c r="AF26" s="44" t="str">
        <f t="shared" si="6"/>
        <v/>
      </c>
      <c r="AG26" s="143" t="str">
        <f t="shared" si="7"/>
        <v/>
      </c>
      <c r="AI26" s="21" t="str">
        <f>+'CORTE I '!AH26</f>
        <v/>
      </c>
      <c r="AJ26" s="22" t="str">
        <f>+'CORTE II'!AG26</f>
        <v/>
      </c>
      <c r="AK26" s="22" t="str">
        <f>+'CORTE III'!AG26</f>
        <v/>
      </c>
      <c r="AL26" s="62"/>
      <c r="AM26" s="63"/>
      <c r="AN26" s="16"/>
      <c r="AO26" s="177">
        <f>IF('CORTE I '!D26&gt;0,'CORTE I '!$C$3*AI26+'CORTE I '!$C$4*'CORTE III'!AJ26+'CORTE I '!$C$5*'CORTE III'!AK26+'CORTE I '!$C$6*'CORTE III'!AL26+'CORTE I '!$C$7*'CORTE III'!AM26,0)</f>
        <v>0</v>
      </c>
      <c r="AP26" s="22"/>
      <c r="AQ26" s="133"/>
      <c r="AR26" s="128"/>
      <c r="AS26" s="128"/>
      <c r="AT26" s="128"/>
      <c r="AU26" s="230"/>
      <c r="AV26" s="231"/>
      <c r="AW26" s="232"/>
      <c r="AX26" s="230"/>
      <c r="AY26" s="231"/>
      <c r="AZ26" s="232"/>
    </row>
    <row r="27" spans="1:52" ht="15.75" thickBot="1" x14ac:dyDescent="0.3">
      <c r="A27" s="19">
        <v>16</v>
      </c>
      <c r="B27" s="36">
        <f>'CORTE I '!B27</f>
        <v>0</v>
      </c>
      <c r="C27" s="36">
        <f>'CORTE I '!C27</f>
        <v>0</v>
      </c>
      <c r="D27" s="153">
        <f>+'CORTE I '!D27</f>
        <v>0</v>
      </c>
      <c r="E27" s="35"/>
      <c r="F27" s="36"/>
      <c r="G27" s="37"/>
      <c r="H27" s="35"/>
      <c r="I27" s="36"/>
      <c r="J27" s="37"/>
      <c r="K27" s="35"/>
      <c r="L27" s="36"/>
      <c r="M27" s="37"/>
      <c r="N27" s="35"/>
      <c r="O27" s="84"/>
      <c r="P27" s="37"/>
      <c r="Q27" s="35"/>
      <c r="R27" s="84"/>
      <c r="S27" s="37"/>
      <c r="T27" s="35"/>
      <c r="U27" s="84"/>
      <c r="V27" s="37"/>
      <c r="W27" s="38"/>
      <c r="X27" s="37"/>
      <c r="Y27" s="59"/>
      <c r="Z27" s="35" t="str">
        <f t="shared" si="0"/>
        <v/>
      </c>
      <c r="AA27" s="36" t="str">
        <f t="shared" si="1"/>
        <v/>
      </c>
      <c r="AB27" s="36" t="str">
        <f t="shared" si="2"/>
        <v/>
      </c>
      <c r="AC27" s="102" t="str">
        <f t="shared" si="3"/>
        <v/>
      </c>
      <c r="AD27" s="102" t="str">
        <f t="shared" si="4"/>
        <v/>
      </c>
      <c r="AE27" s="102" t="str">
        <f t="shared" si="5"/>
        <v/>
      </c>
      <c r="AF27" s="36" t="str">
        <f t="shared" si="6"/>
        <v/>
      </c>
      <c r="AG27" s="143" t="str">
        <f t="shared" si="7"/>
        <v/>
      </c>
      <c r="AI27" s="21" t="str">
        <f>+'CORTE I '!AH27</f>
        <v/>
      </c>
      <c r="AJ27" s="22" t="str">
        <f>+'CORTE II'!AG27</f>
        <v/>
      </c>
      <c r="AK27" s="22" t="str">
        <f>+'CORTE III'!AG27</f>
        <v/>
      </c>
      <c r="AL27" s="22"/>
      <c r="AM27" s="20"/>
      <c r="AN27" s="16"/>
      <c r="AO27" s="177">
        <f>IF('CORTE I '!D27&gt;0,'CORTE I '!$C$3*AI27+'CORTE I '!$C$4*'CORTE III'!AJ27+'CORTE I '!$C$5*'CORTE III'!AK27+'CORTE I '!$C$6*'CORTE III'!AL27+'CORTE I '!$C$7*'CORTE III'!AM27,0)</f>
        <v>0</v>
      </c>
      <c r="AP27" s="22"/>
      <c r="AQ27" s="133"/>
      <c r="AR27" s="129"/>
      <c r="AS27" s="129"/>
      <c r="AT27" s="129"/>
      <c r="AU27" s="236"/>
      <c r="AV27" s="237"/>
      <c r="AW27" s="238"/>
      <c r="AX27" s="236"/>
      <c r="AY27" s="237"/>
      <c r="AZ27" s="238"/>
    </row>
    <row r="28" spans="1:52" ht="15.75" thickBot="1" x14ac:dyDescent="0.3">
      <c r="A28" s="107">
        <v>17</v>
      </c>
      <c r="B28" s="108">
        <f>'CORTE I '!B28</f>
        <v>0</v>
      </c>
      <c r="C28" s="108">
        <f>'CORTE I '!C28</f>
        <v>0</v>
      </c>
      <c r="D28" s="154">
        <f>+'CORTE I '!D28</f>
        <v>0</v>
      </c>
      <c r="E28" s="43"/>
      <c r="F28" s="44"/>
      <c r="G28" s="45"/>
      <c r="H28" s="43"/>
      <c r="I28" s="44"/>
      <c r="J28" s="45"/>
      <c r="K28" s="43"/>
      <c r="L28" s="44"/>
      <c r="M28" s="45"/>
      <c r="N28" s="43"/>
      <c r="O28" s="85"/>
      <c r="P28" s="45"/>
      <c r="Q28" s="43"/>
      <c r="R28" s="85"/>
      <c r="S28" s="45"/>
      <c r="T28" s="43"/>
      <c r="U28" s="85"/>
      <c r="V28" s="45"/>
      <c r="W28" s="46"/>
      <c r="X28" s="45"/>
      <c r="Y28" s="59"/>
      <c r="Z28" s="43" t="str">
        <f t="shared" si="0"/>
        <v/>
      </c>
      <c r="AA28" s="44" t="str">
        <f t="shared" si="1"/>
        <v/>
      </c>
      <c r="AB28" s="44" t="str">
        <f t="shared" si="2"/>
        <v/>
      </c>
      <c r="AC28" s="101" t="str">
        <f t="shared" si="3"/>
        <v/>
      </c>
      <c r="AD28" s="101" t="str">
        <f t="shared" si="4"/>
        <v/>
      </c>
      <c r="AE28" s="101" t="str">
        <f t="shared" si="5"/>
        <v/>
      </c>
      <c r="AF28" s="44" t="str">
        <f t="shared" si="6"/>
        <v/>
      </c>
      <c r="AG28" s="143" t="str">
        <f t="shared" si="7"/>
        <v/>
      </c>
      <c r="AI28" s="21" t="str">
        <f>+'CORTE I '!AH28</f>
        <v/>
      </c>
      <c r="AJ28" s="22" t="str">
        <f>+'CORTE II'!AG28</f>
        <v/>
      </c>
      <c r="AK28" s="22" t="str">
        <f>+'CORTE III'!AG28</f>
        <v/>
      </c>
      <c r="AL28" s="62"/>
      <c r="AM28" s="63"/>
      <c r="AN28" s="16"/>
      <c r="AO28" s="177">
        <f>IF('CORTE I '!D28&gt;0,'CORTE I '!$C$3*AI28+'CORTE I '!$C$4*'CORTE III'!AJ28+'CORTE I '!$C$5*'CORTE III'!AK28+'CORTE I '!$C$6*'CORTE III'!AL28+'CORTE I '!$C$7*'CORTE III'!AM28,0)</f>
        <v>0</v>
      </c>
      <c r="AP28" s="22"/>
      <c r="AQ28" s="133"/>
      <c r="AR28" s="128"/>
      <c r="AS28" s="128"/>
      <c r="AT28" s="128"/>
      <c r="AU28" s="230"/>
      <c r="AV28" s="231"/>
      <c r="AW28" s="232"/>
      <c r="AX28" s="230"/>
      <c r="AY28" s="231"/>
      <c r="AZ28" s="232"/>
    </row>
    <row r="29" spans="1:52" ht="15.75" thickBot="1" x14ac:dyDescent="0.3">
      <c r="A29" s="19">
        <v>18</v>
      </c>
      <c r="B29" s="36">
        <f>'CORTE I '!B29</f>
        <v>0</v>
      </c>
      <c r="C29" s="36">
        <f>'CORTE I '!C29</f>
        <v>0</v>
      </c>
      <c r="D29" s="153">
        <f>+'CORTE I '!D29</f>
        <v>0</v>
      </c>
      <c r="E29" s="35"/>
      <c r="F29" s="36"/>
      <c r="G29" s="37"/>
      <c r="H29" s="35"/>
      <c r="I29" s="36"/>
      <c r="J29" s="37"/>
      <c r="K29" s="35"/>
      <c r="L29" s="36"/>
      <c r="M29" s="37"/>
      <c r="N29" s="35"/>
      <c r="O29" s="84"/>
      <c r="P29" s="37"/>
      <c r="Q29" s="35"/>
      <c r="R29" s="84"/>
      <c r="S29" s="37"/>
      <c r="T29" s="35"/>
      <c r="U29" s="84"/>
      <c r="V29" s="37"/>
      <c r="W29" s="38"/>
      <c r="X29" s="37"/>
      <c r="Y29" s="59"/>
      <c r="Z29" s="35" t="str">
        <f t="shared" si="0"/>
        <v/>
      </c>
      <c r="AA29" s="36" t="str">
        <f t="shared" si="1"/>
        <v/>
      </c>
      <c r="AB29" s="36" t="str">
        <f t="shared" si="2"/>
        <v/>
      </c>
      <c r="AC29" s="102" t="str">
        <f t="shared" si="3"/>
        <v/>
      </c>
      <c r="AD29" s="102" t="str">
        <f t="shared" si="4"/>
        <v/>
      </c>
      <c r="AE29" s="102" t="str">
        <f t="shared" si="5"/>
        <v/>
      </c>
      <c r="AF29" s="36" t="str">
        <f t="shared" si="6"/>
        <v/>
      </c>
      <c r="AG29" s="143" t="str">
        <f t="shared" si="7"/>
        <v/>
      </c>
      <c r="AI29" s="21" t="str">
        <f>+'CORTE I '!AH29</f>
        <v/>
      </c>
      <c r="AJ29" s="22" t="str">
        <f>+'CORTE II'!AG29</f>
        <v/>
      </c>
      <c r="AK29" s="22" t="str">
        <f>+'CORTE III'!AG29</f>
        <v/>
      </c>
      <c r="AL29" s="22"/>
      <c r="AM29" s="20"/>
      <c r="AN29" s="16"/>
      <c r="AO29" s="177">
        <f>IF('CORTE I '!D29&gt;0,'CORTE I '!$C$3*AI29+'CORTE I '!$C$4*'CORTE III'!AJ29+'CORTE I '!$C$5*'CORTE III'!AK29+'CORTE I '!$C$6*'CORTE III'!AL29+'CORTE I '!$C$7*'CORTE III'!AM29,0)</f>
        <v>0</v>
      </c>
      <c r="AP29" s="22"/>
      <c r="AQ29" s="133"/>
      <c r="AR29" s="129"/>
      <c r="AS29" s="129"/>
      <c r="AT29" s="129"/>
      <c r="AU29" s="236"/>
      <c r="AV29" s="237"/>
      <c r="AW29" s="238"/>
      <c r="AX29" s="236"/>
      <c r="AY29" s="237"/>
      <c r="AZ29" s="238"/>
    </row>
    <row r="30" spans="1:52" ht="15.75" thickBot="1" x14ac:dyDescent="0.3">
      <c r="A30" s="107">
        <v>19</v>
      </c>
      <c r="B30" s="108">
        <f>'CORTE I '!B30</f>
        <v>0</v>
      </c>
      <c r="C30" s="108">
        <f>'CORTE I '!C30</f>
        <v>0</v>
      </c>
      <c r="D30" s="154">
        <f>+'CORTE I '!D30</f>
        <v>0</v>
      </c>
      <c r="E30" s="43"/>
      <c r="F30" s="44"/>
      <c r="G30" s="45"/>
      <c r="H30" s="43"/>
      <c r="I30" s="44"/>
      <c r="J30" s="45"/>
      <c r="K30" s="43"/>
      <c r="L30" s="44"/>
      <c r="M30" s="45"/>
      <c r="N30" s="43"/>
      <c r="O30" s="85"/>
      <c r="P30" s="45"/>
      <c r="Q30" s="43"/>
      <c r="R30" s="85"/>
      <c r="S30" s="45"/>
      <c r="T30" s="43"/>
      <c r="U30" s="85"/>
      <c r="V30" s="45"/>
      <c r="W30" s="46"/>
      <c r="X30" s="45"/>
      <c r="Y30" s="59"/>
      <c r="Z30" s="43" t="str">
        <f t="shared" si="0"/>
        <v/>
      </c>
      <c r="AA30" s="44" t="str">
        <f t="shared" si="1"/>
        <v/>
      </c>
      <c r="AB30" s="44" t="str">
        <f t="shared" si="2"/>
        <v/>
      </c>
      <c r="AC30" s="101" t="str">
        <f t="shared" si="3"/>
        <v/>
      </c>
      <c r="AD30" s="101" t="str">
        <f t="shared" si="4"/>
        <v/>
      </c>
      <c r="AE30" s="101" t="str">
        <f t="shared" si="5"/>
        <v/>
      </c>
      <c r="AF30" s="44" t="str">
        <f t="shared" si="6"/>
        <v/>
      </c>
      <c r="AG30" s="143" t="str">
        <f t="shared" si="7"/>
        <v/>
      </c>
      <c r="AI30" s="21" t="str">
        <f>+'CORTE I '!AH30</f>
        <v/>
      </c>
      <c r="AJ30" s="22" t="str">
        <f>+'CORTE II'!AG30</f>
        <v/>
      </c>
      <c r="AK30" s="22" t="str">
        <f>+'CORTE III'!AG30</f>
        <v/>
      </c>
      <c r="AL30" s="62"/>
      <c r="AM30" s="63"/>
      <c r="AN30" s="16"/>
      <c r="AO30" s="177">
        <f>IF('CORTE I '!D30&gt;0,'CORTE I '!$C$3*AI30+'CORTE I '!$C$4*'CORTE III'!AJ30+'CORTE I '!$C$5*'CORTE III'!AK30+'CORTE I '!$C$6*'CORTE III'!AL30+'CORTE I '!$C$7*'CORTE III'!AM30,0)</f>
        <v>0</v>
      </c>
      <c r="AP30" s="22"/>
      <c r="AQ30" s="133"/>
      <c r="AR30" s="128"/>
      <c r="AS30" s="128"/>
      <c r="AT30" s="128"/>
      <c r="AU30" s="230"/>
      <c r="AV30" s="231"/>
      <c r="AW30" s="232"/>
      <c r="AX30" s="230"/>
      <c r="AY30" s="231"/>
      <c r="AZ30" s="232"/>
    </row>
    <row r="31" spans="1:52" ht="15.75" thickBot="1" x14ac:dyDescent="0.3">
      <c r="A31" s="19">
        <v>20</v>
      </c>
      <c r="B31" s="36">
        <f>'CORTE I '!B31</f>
        <v>0</v>
      </c>
      <c r="C31" s="36">
        <f>'CORTE I '!C31</f>
        <v>0</v>
      </c>
      <c r="D31" s="153">
        <f>+'CORTE I '!D31</f>
        <v>0</v>
      </c>
      <c r="E31" s="35"/>
      <c r="F31" s="36"/>
      <c r="G31" s="37"/>
      <c r="H31" s="35"/>
      <c r="I31" s="36"/>
      <c r="J31" s="37"/>
      <c r="K31" s="35"/>
      <c r="L31" s="36"/>
      <c r="M31" s="37"/>
      <c r="N31" s="35"/>
      <c r="O31" s="84"/>
      <c r="P31" s="37"/>
      <c r="Q31" s="35"/>
      <c r="R31" s="84"/>
      <c r="S31" s="37"/>
      <c r="T31" s="35"/>
      <c r="U31" s="84"/>
      <c r="V31" s="37"/>
      <c r="W31" s="38"/>
      <c r="X31" s="37"/>
      <c r="Y31" s="59"/>
      <c r="Z31" s="35" t="str">
        <f t="shared" si="0"/>
        <v/>
      </c>
      <c r="AA31" s="36" t="str">
        <f t="shared" si="1"/>
        <v/>
      </c>
      <c r="AB31" s="36" t="str">
        <f t="shared" si="2"/>
        <v/>
      </c>
      <c r="AC31" s="102" t="str">
        <f t="shared" si="3"/>
        <v/>
      </c>
      <c r="AD31" s="102" t="str">
        <f t="shared" si="4"/>
        <v/>
      </c>
      <c r="AE31" s="102" t="str">
        <f t="shared" si="5"/>
        <v/>
      </c>
      <c r="AF31" s="36" t="str">
        <f t="shared" si="6"/>
        <v/>
      </c>
      <c r="AG31" s="143" t="str">
        <f t="shared" si="7"/>
        <v/>
      </c>
      <c r="AI31" s="21" t="str">
        <f>+'CORTE I '!AH31</f>
        <v/>
      </c>
      <c r="AJ31" s="22" t="str">
        <f>+'CORTE II'!AG31</f>
        <v/>
      </c>
      <c r="AK31" s="22" t="str">
        <f>+'CORTE III'!AG31</f>
        <v/>
      </c>
      <c r="AL31" s="22"/>
      <c r="AM31" s="20"/>
      <c r="AN31" s="16"/>
      <c r="AO31" s="177">
        <f>IF('CORTE I '!D31&gt;0,'CORTE I '!$C$3*AI31+'CORTE I '!$C$4*'CORTE III'!AJ31+'CORTE I '!$C$5*'CORTE III'!AK31+'CORTE I '!$C$6*'CORTE III'!AL31+'CORTE I '!$C$7*'CORTE III'!AM31,0)</f>
        <v>0</v>
      </c>
      <c r="AP31" s="22"/>
      <c r="AQ31" s="133"/>
      <c r="AR31" s="129"/>
      <c r="AS31" s="129"/>
      <c r="AT31" s="129"/>
      <c r="AU31" s="236"/>
      <c r="AV31" s="237"/>
      <c r="AW31" s="238"/>
      <c r="AX31" s="236"/>
      <c r="AY31" s="237"/>
      <c r="AZ31" s="238"/>
    </row>
    <row r="32" spans="1:52" ht="15.75" thickBot="1" x14ac:dyDescent="0.3">
      <c r="A32" s="107">
        <v>21</v>
      </c>
      <c r="B32" s="108">
        <f>'CORTE I '!B32</f>
        <v>0</v>
      </c>
      <c r="C32" s="108">
        <f>'CORTE I '!C32</f>
        <v>0</v>
      </c>
      <c r="D32" s="154">
        <f>+'CORTE I '!D32</f>
        <v>0</v>
      </c>
      <c r="E32" s="43"/>
      <c r="F32" s="44"/>
      <c r="G32" s="45"/>
      <c r="H32" s="43"/>
      <c r="I32" s="44"/>
      <c r="J32" s="45"/>
      <c r="K32" s="43"/>
      <c r="L32" s="44"/>
      <c r="M32" s="45"/>
      <c r="N32" s="43"/>
      <c r="O32" s="85"/>
      <c r="P32" s="45"/>
      <c r="Q32" s="43"/>
      <c r="R32" s="85"/>
      <c r="S32" s="45"/>
      <c r="T32" s="43"/>
      <c r="U32" s="85"/>
      <c r="V32" s="45"/>
      <c r="W32" s="46"/>
      <c r="X32" s="45"/>
      <c r="Y32" s="59"/>
      <c r="Z32" s="43" t="str">
        <f t="shared" si="0"/>
        <v/>
      </c>
      <c r="AA32" s="44" t="str">
        <f t="shared" si="1"/>
        <v/>
      </c>
      <c r="AB32" s="44" t="str">
        <f t="shared" si="2"/>
        <v/>
      </c>
      <c r="AC32" s="88" t="str">
        <f t="shared" si="3"/>
        <v/>
      </c>
      <c r="AD32" s="88" t="str">
        <f t="shared" si="4"/>
        <v/>
      </c>
      <c r="AE32" s="88" t="str">
        <f t="shared" si="5"/>
        <v/>
      </c>
      <c r="AF32" s="44" t="str">
        <f t="shared" si="6"/>
        <v/>
      </c>
      <c r="AG32" s="143" t="str">
        <f t="shared" si="7"/>
        <v/>
      </c>
      <c r="AI32" s="21" t="str">
        <f>+'CORTE I '!AH32</f>
        <v/>
      </c>
      <c r="AJ32" s="22" t="str">
        <f>+'CORTE II'!AG32</f>
        <v/>
      </c>
      <c r="AK32" s="22" t="str">
        <f>+'CORTE III'!AG32</f>
        <v/>
      </c>
      <c r="AL32" s="62"/>
      <c r="AM32" s="63"/>
      <c r="AN32" s="16"/>
      <c r="AO32" s="177">
        <f>IF('CORTE I '!D32&gt;0,'CORTE I '!$C$3*AI32+'CORTE I '!$C$4*'CORTE III'!AJ32+'CORTE I '!$C$5*'CORTE III'!AK32+'CORTE I '!$C$6*'CORTE III'!AL32+'CORTE I '!$C$7*'CORTE III'!AM32,0)</f>
        <v>0</v>
      </c>
      <c r="AP32" s="22"/>
      <c r="AQ32" s="133"/>
      <c r="AR32" s="128"/>
      <c r="AS32" s="128"/>
      <c r="AT32" s="128"/>
      <c r="AU32" s="230"/>
      <c r="AV32" s="231"/>
      <c r="AW32" s="232"/>
      <c r="AX32" s="230"/>
      <c r="AY32" s="231"/>
      <c r="AZ32" s="232"/>
    </row>
    <row r="33" spans="1:52" ht="15.75" thickBot="1" x14ac:dyDescent="0.3">
      <c r="A33" s="19">
        <v>22</v>
      </c>
      <c r="B33" s="36">
        <f>'CORTE I '!B33</f>
        <v>0</v>
      </c>
      <c r="C33" s="36">
        <f>'CORTE I '!C33</f>
        <v>0</v>
      </c>
      <c r="D33" s="153">
        <f>+'CORTE I '!D33</f>
        <v>0</v>
      </c>
      <c r="E33" s="35"/>
      <c r="F33" s="36"/>
      <c r="G33" s="37"/>
      <c r="H33" s="35"/>
      <c r="I33" s="36"/>
      <c r="J33" s="37"/>
      <c r="K33" s="35"/>
      <c r="L33" s="36"/>
      <c r="M33" s="37"/>
      <c r="N33" s="35"/>
      <c r="O33" s="84"/>
      <c r="P33" s="37"/>
      <c r="Q33" s="35"/>
      <c r="R33" s="84"/>
      <c r="S33" s="37"/>
      <c r="T33" s="35"/>
      <c r="U33" s="84"/>
      <c r="V33" s="37"/>
      <c r="W33" s="38"/>
      <c r="X33" s="37"/>
      <c r="Y33" s="59"/>
      <c r="Z33" s="35" t="str">
        <f t="shared" si="0"/>
        <v/>
      </c>
      <c r="AA33" s="36" t="str">
        <f t="shared" si="1"/>
        <v/>
      </c>
      <c r="AB33" s="36" t="str">
        <f t="shared" si="2"/>
        <v/>
      </c>
      <c r="AC33" s="102" t="str">
        <f t="shared" si="3"/>
        <v/>
      </c>
      <c r="AD33" s="102" t="str">
        <f t="shared" si="4"/>
        <v/>
      </c>
      <c r="AE33" s="102" t="str">
        <f t="shared" si="5"/>
        <v/>
      </c>
      <c r="AF33" s="36" t="str">
        <f t="shared" si="6"/>
        <v/>
      </c>
      <c r="AG33" s="143" t="str">
        <f t="shared" si="7"/>
        <v/>
      </c>
      <c r="AI33" s="21" t="str">
        <f>+'CORTE I '!AH33</f>
        <v/>
      </c>
      <c r="AJ33" s="22" t="str">
        <f>+'CORTE II'!AG33</f>
        <v/>
      </c>
      <c r="AK33" s="22" t="str">
        <f>+'CORTE III'!AG33</f>
        <v/>
      </c>
      <c r="AL33" s="22"/>
      <c r="AM33" s="20"/>
      <c r="AN33" s="16"/>
      <c r="AO33" s="177">
        <f>IF('CORTE I '!D33&gt;0,'CORTE I '!$C$3*AI33+'CORTE I '!$C$4*'CORTE III'!AJ33+'CORTE I '!$C$5*'CORTE III'!AK33+'CORTE I '!$C$6*'CORTE III'!AL33+'CORTE I '!$C$7*'CORTE III'!AM33,0)</f>
        <v>0</v>
      </c>
      <c r="AP33" s="22"/>
      <c r="AQ33" s="133"/>
      <c r="AR33" s="129"/>
      <c r="AS33" s="129"/>
      <c r="AT33" s="129"/>
      <c r="AU33" s="236"/>
      <c r="AV33" s="237"/>
      <c r="AW33" s="238"/>
      <c r="AX33" s="236"/>
      <c r="AY33" s="237"/>
      <c r="AZ33" s="238"/>
    </row>
    <row r="34" spans="1:52" ht="15.75" thickBot="1" x14ac:dyDescent="0.3">
      <c r="A34" s="107">
        <v>23</v>
      </c>
      <c r="B34" s="108">
        <f>'CORTE I '!B34</f>
        <v>0</v>
      </c>
      <c r="C34" s="108">
        <f>'CORTE I '!C34</f>
        <v>0</v>
      </c>
      <c r="D34" s="154">
        <f>+'CORTE I '!D34</f>
        <v>0</v>
      </c>
      <c r="E34" s="43"/>
      <c r="F34" s="44"/>
      <c r="G34" s="45"/>
      <c r="H34" s="43"/>
      <c r="I34" s="44"/>
      <c r="J34" s="45"/>
      <c r="K34" s="43"/>
      <c r="L34" s="44"/>
      <c r="M34" s="45"/>
      <c r="N34" s="43"/>
      <c r="O34" s="85"/>
      <c r="P34" s="45"/>
      <c r="Q34" s="43"/>
      <c r="R34" s="85"/>
      <c r="S34" s="45"/>
      <c r="T34" s="43"/>
      <c r="U34" s="85"/>
      <c r="V34" s="45"/>
      <c r="W34" s="46"/>
      <c r="X34" s="45"/>
      <c r="Y34" s="59"/>
      <c r="Z34" s="43" t="str">
        <f t="shared" si="0"/>
        <v/>
      </c>
      <c r="AA34" s="44" t="str">
        <f t="shared" si="1"/>
        <v/>
      </c>
      <c r="AB34" s="44" t="str">
        <f t="shared" si="2"/>
        <v/>
      </c>
      <c r="AC34" s="88" t="str">
        <f t="shared" si="3"/>
        <v/>
      </c>
      <c r="AD34" s="88" t="str">
        <f t="shared" si="4"/>
        <v/>
      </c>
      <c r="AE34" s="88" t="str">
        <f t="shared" si="5"/>
        <v/>
      </c>
      <c r="AF34" s="44" t="str">
        <f t="shared" si="6"/>
        <v/>
      </c>
      <c r="AG34" s="143" t="str">
        <f t="shared" si="7"/>
        <v/>
      </c>
      <c r="AI34" s="21" t="str">
        <f>+'CORTE I '!AH34</f>
        <v/>
      </c>
      <c r="AJ34" s="22" t="str">
        <f>+'CORTE II'!AG34</f>
        <v/>
      </c>
      <c r="AK34" s="22" t="str">
        <f>+'CORTE III'!AG34</f>
        <v/>
      </c>
      <c r="AL34" s="62"/>
      <c r="AM34" s="63"/>
      <c r="AN34" s="16"/>
      <c r="AO34" s="177">
        <f>IF('CORTE I '!D34&gt;0,'CORTE I '!$C$3*AI34+'CORTE I '!$C$4*'CORTE III'!AJ34+'CORTE I '!$C$5*'CORTE III'!AK34+'CORTE I '!$C$6*'CORTE III'!AL34+'CORTE I '!$C$7*'CORTE III'!AM34,0)</f>
        <v>0</v>
      </c>
      <c r="AP34" s="22"/>
      <c r="AQ34" s="133"/>
      <c r="AR34" s="128"/>
      <c r="AS34" s="128"/>
      <c r="AT34" s="128"/>
      <c r="AU34" s="230"/>
      <c r="AV34" s="231"/>
      <c r="AW34" s="232"/>
      <c r="AX34" s="230"/>
      <c r="AY34" s="231"/>
      <c r="AZ34" s="232"/>
    </row>
    <row r="35" spans="1:52" ht="15.75" thickBot="1" x14ac:dyDescent="0.3">
      <c r="A35" s="19">
        <v>24</v>
      </c>
      <c r="B35" s="36">
        <f>'CORTE I '!B35</f>
        <v>0</v>
      </c>
      <c r="C35" s="36">
        <f>'CORTE I '!C35</f>
        <v>0</v>
      </c>
      <c r="D35" s="153">
        <f>+'CORTE I '!D35</f>
        <v>0</v>
      </c>
      <c r="E35" s="35"/>
      <c r="F35" s="36"/>
      <c r="G35" s="37"/>
      <c r="H35" s="35"/>
      <c r="I35" s="36"/>
      <c r="J35" s="37"/>
      <c r="K35" s="35"/>
      <c r="L35" s="36"/>
      <c r="M35" s="37"/>
      <c r="N35" s="35"/>
      <c r="O35" s="84"/>
      <c r="P35" s="37"/>
      <c r="Q35" s="35"/>
      <c r="R35" s="84"/>
      <c r="S35" s="37"/>
      <c r="T35" s="35"/>
      <c r="U35" s="84"/>
      <c r="V35" s="37"/>
      <c r="W35" s="38"/>
      <c r="X35" s="37"/>
      <c r="Y35" s="59"/>
      <c r="Z35" s="35" t="str">
        <f t="shared" si="0"/>
        <v/>
      </c>
      <c r="AA35" s="36" t="str">
        <f t="shared" si="1"/>
        <v/>
      </c>
      <c r="AB35" s="36" t="str">
        <f t="shared" si="2"/>
        <v/>
      </c>
      <c r="AC35" s="102" t="str">
        <f t="shared" si="3"/>
        <v/>
      </c>
      <c r="AD35" s="102" t="str">
        <f t="shared" si="4"/>
        <v/>
      </c>
      <c r="AE35" s="102" t="str">
        <f t="shared" si="5"/>
        <v/>
      </c>
      <c r="AF35" s="36" t="str">
        <f t="shared" si="6"/>
        <v/>
      </c>
      <c r="AG35" s="143" t="str">
        <f t="shared" si="7"/>
        <v/>
      </c>
      <c r="AI35" s="21" t="str">
        <f>+'CORTE I '!AH35</f>
        <v/>
      </c>
      <c r="AJ35" s="22" t="str">
        <f>+'CORTE II'!AG35</f>
        <v/>
      </c>
      <c r="AK35" s="22" t="str">
        <f>+'CORTE III'!AG35</f>
        <v/>
      </c>
      <c r="AL35" s="22"/>
      <c r="AM35" s="20"/>
      <c r="AN35" s="16"/>
      <c r="AO35" s="177">
        <f>IF('CORTE I '!D35&gt;0,'CORTE I '!$C$3*AI35+'CORTE I '!$C$4*'CORTE III'!AJ35+'CORTE I '!$C$5*'CORTE III'!AK35+'CORTE I '!$C$6*'CORTE III'!AL35+'CORTE I '!$C$7*'CORTE III'!AM35,0)</f>
        <v>0</v>
      </c>
      <c r="AP35" s="22"/>
      <c r="AQ35" s="133"/>
      <c r="AR35" s="129"/>
      <c r="AS35" s="129"/>
      <c r="AT35" s="129"/>
      <c r="AU35" s="236"/>
      <c r="AV35" s="237"/>
      <c r="AW35" s="238"/>
      <c r="AX35" s="236"/>
      <c r="AY35" s="237"/>
      <c r="AZ35" s="238"/>
    </row>
    <row r="36" spans="1:52" ht="15.75" thickBot="1" x14ac:dyDescent="0.3">
      <c r="A36" s="107">
        <v>25</v>
      </c>
      <c r="B36" s="108">
        <f>'CORTE I '!B36</f>
        <v>0</v>
      </c>
      <c r="C36" s="108">
        <f>'CORTE I '!C36</f>
        <v>0</v>
      </c>
      <c r="D36" s="154">
        <f>+'CORTE I '!D36</f>
        <v>0</v>
      </c>
      <c r="E36" s="43"/>
      <c r="F36" s="44"/>
      <c r="G36" s="45"/>
      <c r="H36" s="43"/>
      <c r="I36" s="44"/>
      <c r="J36" s="45"/>
      <c r="K36" s="43"/>
      <c r="L36" s="44"/>
      <c r="M36" s="45"/>
      <c r="N36" s="43"/>
      <c r="O36" s="85"/>
      <c r="P36" s="45"/>
      <c r="Q36" s="43"/>
      <c r="R36" s="85"/>
      <c r="S36" s="45"/>
      <c r="T36" s="43"/>
      <c r="U36" s="85"/>
      <c r="V36" s="45"/>
      <c r="W36" s="46"/>
      <c r="X36" s="45"/>
      <c r="Y36" s="59"/>
      <c r="Z36" s="43" t="str">
        <f t="shared" si="0"/>
        <v/>
      </c>
      <c r="AA36" s="44" t="str">
        <f t="shared" si="1"/>
        <v/>
      </c>
      <c r="AB36" s="44" t="str">
        <f t="shared" si="2"/>
        <v/>
      </c>
      <c r="AC36" s="88" t="str">
        <f t="shared" si="3"/>
        <v/>
      </c>
      <c r="AD36" s="88" t="str">
        <f t="shared" si="4"/>
        <v/>
      </c>
      <c r="AE36" s="88" t="str">
        <f t="shared" si="5"/>
        <v/>
      </c>
      <c r="AF36" s="44" t="str">
        <f t="shared" si="6"/>
        <v/>
      </c>
      <c r="AG36" s="143" t="str">
        <f t="shared" si="7"/>
        <v/>
      </c>
      <c r="AI36" s="21" t="str">
        <f>+'CORTE I '!AH36</f>
        <v/>
      </c>
      <c r="AJ36" s="22" t="str">
        <f>+'CORTE II'!AG36</f>
        <v/>
      </c>
      <c r="AK36" s="22" t="str">
        <f>+'CORTE III'!AG36</f>
        <v/>
      </c>
      <c r="AL36" s="62"/>
      <c r="AM36" s="63"/>
      <c r="AN36" s="16"/>
      <c r="AO36" s="177">
        <f>IF('CORTE I '!D36&gt;0,'CORTE I '!$C$3*AI36+'CORTE I '!$C$4*'CORTE III'!AJ36+'CORTE I '!$C$5*'CORTE III'!AK36+'CORTE I '!$C$6*'CORTE III'!AL36+'CORTE I '!$C$7*'CORTE III'!AM36,0)</f>
        <v>0</v>
      </c>
      <c r="AP36" s="22"/>
      <c r="AQ36" s="133"/>
      <c r="AR36" s="128"/>
      <c r="AS36" s="128"/>
      <c r="AT36" s="128"/>
      <c r="AU36" s="230"/>
      <c r="AV36" s="231"/>
      <c r="AW36" s="232"/>
      <c r="AX36" s="230"/>
      <c r="AY36" s="231"/>
      <c r="AZ36" s="232"/>
    </row>
    <row r="37" spans="1:52" ht="15.75" thickBot="1" x14ac:dyDescent="0.3">
      <c r="A37" s="19">
        <v>26</v>
      </c>
      <c r="B37" s="36">
        <f>'CORTE I '!B37</f>
        <v>0</v>
      </c>
      <c r="C37" s="36">
        <f>'CORTE I '!C37</f>
        <v>0</v>
      </c>
      <c r="D37" s="153">
        <f>+'CORTE I '!D37</f>
        <v>0</v>
      </c>
      <c r="E37" s="35"/>
      <c r="F37" s="36"/>
      <c r="G37" s="37"/>
      <c r="H37" s="35"/>
      <c r="I37" s="36"/>
      <c r="J37" s="37"/>
      <c r="K37" s="35"/>
      <c r="L37" s="36"/>
      <c r="M37" s="37"/>
      <c r="N37" s="35"/>
      <c r="O37" s="84"/>
      <c r="P37" s="37"/>
      <c r="Q37" s="35"/>
      <c r="R37" s="84"/>
      <c r="S37" s="37"/>
      <c r="T37" s="35"/>
      <c r="U37" s="84"/>
      <c r="V37" s="37"/>
      <c r="W37" s="38"/>
      <c r="X37" s="37"/>
      <c r="Y37" s="59"/>
      <c r="Z37" s="35" t="str">
        <f t="shared" si="0"/>
        <v/>
      </c>
      <c r="AA37" s="36" t="str">
        <f t="shared" si="1"/>
        <v/>
      </c>
      <c r="AB37" s="36" t="str">
        <f t="shared" si="2"/>
        <v/>
      </c>
      <c r="AC37" s="102" t="str">
        <f t="shared" si="3"/>
        <v/>
      </c>
      <c r="AD37" s="102" t="str">
        <f t="shared" si="4"/>
        <v/>
      </c>
      <c r="AE37" s="102" t="str">
        <f t="shared" si="5"/>
        <v/>
      </c>
      <c r="AF37" s="36" t="str">
        <f t="shared" si="6"/>
        <v/>
      </c>
      <c r="AG37" s="143" t="str">
        <f t="shared" si="7"/>
        <v/>
      </c>
      <c r="AI37" s="21" t="str">
        <f>+'CORTE I '!AH37</f>
        <v/>
      </c>
      <c r="AJ37" s="22" t="str">
        <f>+'CORTE II'!AG37</f>
        <v/>
      </c>
      <c r="AK37" s="22" t="str">
        <f>+'CORTE III'!AG37</f>
        <v/>
      </c>
      <c r="AL37" s="22"/>
      <c r="AM37" s="20"/>
      <c r="AN37" s="16"/>
      <c r="AO37" s="177">
        <f>IF('CORTE I '!D37&gt;0,'CORTE I '!$C$3*AI37+'CORTE I '!$C$4*'CORTE III'!AJ37+'CORTE I '!$C$5*'CORTE III'!AK37+'CORTE I '!$C$6*'CORTE III'!AL37+'CORTE I '!$C$7*'CORTE III'!AM37,0)</f>
        <v>0</v>
      </c>
      <c r="AP37" s="22"/>
      <c r="AQ37" s="133"/>
      <c r="AR37" s="129"/>
      <c r="AS37" s="129"/>
      <c r="AT37" s="129"/>
      <c r="AU37" s="233"/>
      <c r="AV37" s="234"/>
      <c r="AW37" s="235"/>
      <c r="AX37" s="236"/>
      <c r="AY37" s="237"/>
      <c r="AZ37" s="238"/>
    </row>
    <row r="38" spans="1:52" ht="15.75" thickBot="1" x14ac:dyDescent="0.3">
      <c r="A38" s="107">
        <v>27</v>
      </c>
      <c r="B38" s="108">
        <f>'CORTE I '!B38</f>
        <v>0</v>
      </c>
      <c r="C38" s="108">
        <f>'CORTE I '!C38</f>
        <v>0</v>
      </c>
      <c r="D38" s="154">
        <f>+'CORTE I '!D38</f>
        <v>0</v>
      </c>
      <c r="E38" s="43"/>
      <c r="F38" s="44"/>
      <c r="G38" s="45"/>
      <c r="H38" s="43"/>
      <c r="I38" s="44"/>
      <c r="J38" s="45"/>
      <c r="K38" s="43"/>
      <c r="L38" s="44"/>
      <c r="M38" s="45"/>
      <c r="N38" s="43"/>
      <c r="O38" s="85"/>
      <c r="P38" s="45"/>
      <c r="Q38" s="43"/>
      <c r="R38" s="85"/>
      <c r="S38" s="45"/>
      <c r="T38" s="43"/>
      <c r="U38" s="85"/>
      <c r="V38" s="45"/>
      <c r="W38" s="46"/>
      <c r="X38" s="45"/>
      <c r="Y38" s="59"/>
      <c r="Z38" s="43" t="str">
        <f t="shared" si="0"/>
        <v/>
      </c>
      <c r="AA38" s="44" t="str">
        <f t="shared" si="1"/>
        <v/>
      </c>
      <c r="AB38" s="44" t="str">
        <f t="shared" si="2"/>
        <v/>
      </c>
      <c r="AC38" s="88" t="str">
        <f t="shared" si="3"/>
        <v/>
      </c>
      <c r="AD38" s="88" t="str">
        <f t="shared" si="4"/>
        <v/>
      </c>
      <c r="AE38" s="88" t="str">
        <f t="shared" si="5"/>
        <v/>
      </c>
      <c r="AF38" s="44" t="str">
        <f t="shared" si="6"/>
        <v/>
      </c>
      <c r="AG38" s="143" t="str">
        <f t="shared" si="7"/>
        <v/>
      </c>
      <c r="AI38" s="21" t="str">
        <f>+'CORTE I '!AH38</f>
        <v/>
      </c>
      <c r="AJ38" s="22" t="str">
        <f>+'CORTE II'!AG38</f>
        <v/>
      </c>
      <c r="AK38" s="22" t="str">
        <f>+'CORTE III'!AG38</f>
        <v/>
      </c>
      <c r="AL38" s="62"/>
      <c r="AM38" s="63"/>
      <c r="AN38" s="16"/>
      <c r="AO38" s="177">
        <f>IF('CORTE I '!D38&gt;0,'CORTE I '!$C$3*AI38+'CORTE I '!$C$4*'CORTE III'!AJ38+'CORTE I '!$C$5*'CORTE III'!AK38+'CORTE I '!$C$6*'CORTE III'!AL38+'CORTE I '!$C$7*'CORTE III'!AM38,0)</f>
        <v>0</v>
      </c>
      <c r="AP38" s="22"/>
      <c r="AQ38" s="133"/>
      <c r="AR38" s="128"/>
      <c r="AS38" s="128"/>
      <c r="AT38" s="128"/>
      <c r="AU38" s="227"/>
      <c r="AV38" s="228"/>
      <c r="AW38" s="229"/>
      <c r="AX38" s="230"/>
      <c r="AY38" s="231"/>
      <c r="AZ38" s="232"/>
    </row>
    <row r="39" spans="1:52" ht="15.75" thickBot="1" x14ac:dyDescent="0.3">
      <c r="A39" s="19">
        <v>28</v>
      </c>
      <c r="B39" s="36">
        <f>'CORTE I '!B39</f>
        <v>0</v>
      </c>
      <c r="C39" s="36">
        <f>'CORTE I '!C39</f>
        <v>0</v>
      </c>
      <c r="D39" s="153">
        <f>+'CORTE I '!D39</f>
        <v>0</v>
      </c>
      <c r="E39" s="35"/>
      <c r="F39" s="36"/>
      <c r="G39" s="37"/>
      <c r="H39" s="35"/>
      <c r="I39" s="36"/>
      <c r="J39" s="37"/>
      <c r="K39" s="35"/>
      <c r="L39" s="36"/>
      <c r="M39" s="37"/>
      <c r="N39" s="35"/>
      <c r="O39" s="84"/>
      <c r="P39" s="37"/>
      <c r="Q39" s="35"/>
      <c r="R39" s="84"/>
      <c r="S39" s="37"/>
      <c r="T39" s="35"/>
      <c r="U39" s="84"/>
      <c r="V39" s="37"/>
      <c r="W39" s="38"/>
      <c r="X39" s="37"/>
      <c r="Y39" s="59"/>
      <c r="Z39" s="35" t="str">
        <f t="shared" si="0"/>
        <v/>
      </c>
      <c r="AA39" s="36" t="str">
        <f t="shared" si="1"/>
        <v/>
      </c>
      <c r="AB39" s="36" t="str">
        <f t="shared" si="2"/>
        <v/>
      </c>
      <c r="AC39" s="102" t="str">
        <f t="shared" si="3"/>
        <v/>
      </c>
      <c r="AD39" s="102" t="str">
        <f t="shared" si="4"/>
        <v/>
      </c>
      <c r="AE39" s="102" t="str">
        <f t="shared" si="5"/>
        <v/>
      </c>
      <c r="AF39" s="36" t="str">
        <f t="shared" si="6"/>
        <v/>
      </c>
      <c r="AG39" s="143" t="str">
        <f t="shared" si="7"/>
        <v/>
      </c>
      <c r="AI39" s="21" t="str">
        <f>+'CORTE I '!AH39</f>
        <v/>
      </c>
      <c r="AJ39" s="22" t="str">
        <f>+'CORTE II'!AG39</f>
        <v/>
      </c>
      <c r="AK39" s="22" t="str">
        <f>+'CORTE III'!AG39</f>
        <v/>
      </c>
      <c r="AL39" s="22"/>
      <c r="AM39" s="20"/>
      <c r="AN39" s="16"/>
      <c r="AO39" s="177">
        <f>IF('CORTE I '!D39&gt;0,'CORTE I '!$C$3*AI39+'CORTE I '!$C$4*'CORTE III'!AJ39+'CORTE I '!$C$5*'CORTE III'!AK39+'CORTE I '!$C$6*'CORTE III'!AL39+'CORTE I '!$C$7*'CORTE III'!AM39,0)</f>
        <v>0</v>
      </c>
      <c r="AP39" s="22"/>
      <c r="AQ39" s="133"/>
      <c r="AR39" s="129"/>
      <c r="AS39" s="129"/>
      <c r="AT39" s="129"/>
      <c r="AU39" s="233"/>
      <c r="AV39" s="234"/>
      <c r="AW39" s="235"/>
      <c r="AX39" s="236"/>
      <c r="AY39" s="237"/>
      <c r="AZ39" s="238"/>
    </row>
    <row r="40" spans="1:52" ht="15.75" thickBot="1" x14ac:dyDescent="0.3">
      <c r="A40" s="107">
        <v>29</v>
      </c>
      <c r="B40" s="108">
        <f>'CORTE I '!B40</f>
        <v>0</v>
      </c>
      <c r="C40" s="108">
        <f>'CORTE I '!C40</f>
        <v>0</v>
      </c>
      <c r="D40" s="154">
        <f>+'CORTE I '!D40</f>
        <v>0</v>
      </c>
      <c r="E40" s="43"/>
      <c r="F40" s="44"/>
      <c r="G40" s="45"/>
      <c r="H40" s="43"/>
      <c r="I40" s="44"/>
      <c r="J40" s="45"/>
      <c r="K40" s="43"/>
      <c r="L40" s="44"/>
      <c r="M40" s="45"/>
      <c r="N40" s="43"/>
      <c r="O40" s="85"/>
      <c r="P40" s="45"/>
      <c r="Q40" s="43"/>
      <c r="R40" s="85"/>
      <c r="S40" s="45"/>
      <c r="T40" s="43"/>
      <c r="U40" s="85"/>
      <c r="V40" s="45"/>
      <c r="W40" s="46"/>
      <c r="X40" s="45"/>
      <c r="Y40" s="59"/>
      <c r="Z40" s="43" t="str">
        <f t="shared" si="0"/>
        <v/>
      </c>
      <c r="AA40" s="44" t="str">
        <f t="shared" si="1"/>
        <v/>
      </c>
      <c r="AB40" s="44" t="str">
        <f t="shared" si="2"/>
        <v/>
      </c>
      <c r="AC40" s="88" t="str">
        <f t="shared" si="3"/>
        <v/>
      </c>
      <c r="AD40" s="88" t="str">
        <f t="shared" si="4"/>
        <v/>
      </c>
      <c r="AE40" s="88" t="str">
        <f t="shared" si="5"/>
        <v/>
      </c>
      <c r="AF40" s="44" t="str">
        <f t="shared" si="6"/>
        <v/>
      </c>
      <c r="AG40" s="143" t="str">
        <f t="shared" si="7"/>
        <v/>
      </c>
      <c r="AI40" s="21" t="str">
        <f>+'CORTE I '!AH40</f>
        <v/>
      </c>
      <c r="AJ40" s="22" t="str">
        <f>+'CORTE II'!AG40</f>
        <v/>
      </c>
      <c r="AK40" s="22" t="str">
        <f>+'CORTE III'!AG40</f>
        <v/>
      </c>
      <c r="AL40" s="62"/>
      <c r="AM40" s="63"/>
      <c r="AN40" s="16"/>
      <c r="AO40" s="177">
        <f>IF('CORTE I '!D40&gt;0,'CORTE I '!$C$3*AI40+'CORTE I '!$C$4*'CORTE III'!AJ40+'CORTE I '!$C$5*'CORTE III'!AK40+'CORTE I '!$C$6*'CORTE III'!AL40+'CORTE I '!$C$7*'CORTE III'!AM40,0)</f>
        <v>0</v>
      </c>
      <c r="AP40" s="22"/>
      <c r="AQ40" s="133"/>
      <c r="AR40" s="128"/>
      <c r="AS40" s="128"/>
      <c r="AT40" s="128"/>
      <c r="AU40" s="227"/>
      <c r="AV40" s="228"/>
      <c r="AW40" s="229"/>
      <c r="AX40" s="230"/>
      <c r="AY40" s="231"/>
      <c r="AZ40" s="232"/>
    </row>
    <row r="41" spans="1:52" ht="15.75" thickBot="1" x14ac:dyDescent="0.3">
      <c r="A41" s="19">
        <v>30</v>
      </c>
      <c r="B41" s="36">
        <f>'CORTE I '!B41</f>
        <v>0</v>
      </c>
      <c r="C41" s="36">
        <f>'CORTE I '!C41</f>
        <v>0</v>
      </c>
      <c r="D41" s="153">
        <f>+'CORTE I '!D41</f>
        <v>0</v>
      </c>
      <c r="E41" s="35"/>
      <c r="F41" s="36"/>
      <c r="G41" s="37"/>
      <c r="H41" s="35"/>
      <c r="I41" s="36"/>
      <c r="J41" s="37"/>
      <c r="K41" s="35"/>
      <c r="L41" s="36"/>
      <c r="M41" s="37"/>
      <c r="N41" s="35"/>
      <c r="O41" s="84"/>
      <c r="P41" s="37"/>
      <c r="Q41" s="35"/>
      <c r="R41" s="84"/>
      <c r="S41" s="37"/>
      <c r="T41" s="35"/>
      <c r="U41" s="84"/>
      <c r="V41" s="37"/>
      <c r="W41" s="38"/>
      <c r="X41" s="37"/>
      <c r="Y41" s="59"/>
      <c r="Z41" s="35" t="str">
        <f t="shared" si="0"/>
        <v/>
      </c>
      <c r="AA41" s="36" t="str">
        <f t="shared" si="1"/>
        <v/>
      </c>
      <c r="AB41" s="36" t="str">
        <f t="shared" si="2"/>
        <v/>
      </c>
      <c r="AC41" s="102" t="str">
        <f t="shared" si="3"/>
        <v/>
      </c>
      <c r="AD41" s="102" t="str">
        <f t="shared" si="4"/>
        <v/>
      </c>
      <c r="AE41" s="102" t="str">
        <f t="shared" si="5"/>
        <v/>
      </c>
      <c r="AF41" s="36" t="str">
        <f t="shared" si="6"/>
        <v/>
      </c>
      <c r="AG41" s="143" t="str">
        <f t="shared" si="7"/>
        <v/>
      </c>
      <c r="AI41" s="21" t="str">
        <f>+'CORTE I '!AH41</f>
        <v/>
      </c>
      <c r="AJ41" s="22" t="str">
        <f>+'CORTE II'!AG41</f>
        <v/>
      </c>
      <c r="AK41" s="22" t="str">
        <f>+'CORTE III'!AG41</f>
        <v/>
      </c>
      <c r="AL41" s="22"/>
      <c r="AM41" s="20"/>
      <c r="AN41" s="16"/>
      <c r="AO41" s="177">
        <f>IF('CORTE I '!D41&gt;0,'CORTE I '!$C$3*AI41+'CORTE I '!$C$4*'CORTE III'!AJ41+'CORTE I '!$C$5*'CORTE III'!AK41+'CORTE I '!$C$6*'CORTE III'!AL41+'CORTE I '!$C$7*'CORTE III'!AM41,0)</f>
        <v>0</v>
      </c>
      <c r="AP41" s="22"/>
      <c r="AQ41" s="133"/>
      <c r="AR41" s="129"/>
      <c r="AS41" s="129"/>
      <c r="AT41" s="129"/>
      <c r="AU41" s="233"/>
      <c r="AV41" s="234"/>
      <c r="AW41" s="235"/>
      <c r="AX41" s="236"/>
      <c r="AY41" s="237"/>
      <c r="AZ41" s="238"/>
    </row>
    <row r="42" spans="1:52" ht="15.75" thickBot="1" x14ac:dyDescent="0.3">
      <c r="A42" s="107">
        <v>31</v>
      </c>
      <c r="B42" s="108">
        <f>'CORTE I '!B42</f>
        <v>0</v>
      </c>
      <c r="C42" s="108">
        <f>'CORTE I '!C42</f>
        <v>0</v>
      </c>
      <c r="D42" s="154">
        <f>+'CORTE I '!D42</f>
        <v>0</v>
      </c>
      <c r="E42" s="43"/>
      <c r="F42" s="44"/>
      <c r="G42" s="45"/>
      <c r="H42" s="43"/>
      <c r="I42" s="44"/>
      <c r="J42" s="45"/>
      <c r="K42" s="43"/>
      <c r="L42" s="44"/>
      <c r="M42" s="45"/>
      <c r="N42" s="43"/>
      <c r="O42" s="85"/>
      <c r="P42" s="45"/>
      <c r="Q42" s="43"/>
      <c r="R42" s="85"/>
      <c r="S42" s="45"/>
      <c r="T42" s="43"/>
      <c r="U42" s="85"/>
      <c r="V42" s="45"/>
      <c r="W42" s="46"/>
      <c r="X42" s="45"/>
      <c r="Y42" s="59"/>
      <c r="Z42" s="43" t="str">
        <f t="shared" si="0"/>
        <v/>
      </c>
      <c r="AA42" s="44" t="str">
        <f t="shared" si="1"/>
        <v/>
      </c>
      <c r="AB42" s="44" t="str">
        <f t="shared" si="2"/>
        <v/>
      </c>
      <c r="AC42" s="88" t="str">
        <f t="shared" si="3"/>
        <v/>
      </c>
      <c r="AD42" s="88" t="str">
        <f t="shared" si="4"/>
        <v/>
      </c>
      <c r="AE42" s="88" t="str">
        <f t="shared" si="5"/>
        <v/>
      </c>
      <c r="AF42" s="44" t="str">
        <f t="shared" si="6"/>
        <v/>
      </c>
      <c r="AG42" s="143" t="str">
        <f t="shared" si="7"/>
        <v/>
      </c>
      <c r="AI42" s="21" t="str">
        <f>+'CORTE I '!AH42</f>
        <v/>
      </c>
      <c r="AJ42" s="22" t="str">
        <f>+'CORTE II'!AG42</f>
        <v/>
      </c>
      <c r="AK42" s="22" t="str">
        <f>+'CORTE III'!AG42</f>
        <v/>
      </c>
      <c r="AL42" s="62"/>
      <c r="AM42" s="63"/>
      <c r="AN42" s="16"/>
      <c r="AO42" s="177">
        <f>IF('CORTE I '!D42&gt;0,'CORTE I '!$C$3*AI42+'CORTE I '!$C$4*'CORTE III'!AJ42+'CORTE I '!$C$5*'CORTE III'!AK42+'CORTE I '!$C$6*'CORTE III'!AL42+'CORTE I '!$C$7*'CORTE III'!AM42,0)</f>
        <v>0</v>
      </c>
      <c r="AP42" s="22"/>
      <c r="AQ42" s="133"/>
      <c r="AR42" s="128"/>
      <c r="AS42" s="128"/>
      <c r="AT42" s="128"/>
      <c r="AU42" s="227"/>
      <c r="AV42" s="228"/>
      <c r="AW42" s="229"/>
      <c r="AX42" s="230"/>
      <c r="AY42" s="231"/>
      <c r="AZ42" s="232"/>
    </row>
    <row r="43" spans="1:52" ht="15.75" thickBot="1" x14ac:dyDescent="0.3">
      <c r="A43" s="19">
        <v>32</v>
      </c>
      <c r="B43" s="36">
        <f>'CORTE I '!B43</f>
        <v>0</v>
      </c>
      <c r="C43" s="36">
        <f>'CORTE I '!C43</f>
        <v>0</v>
      </c>
      <c r="D43" s="153">
        <f>+'CORTE I '!D43</f>
        <v>0</v>
      </c>
      <c r="E43" s="35"/>
      <c r="F43" s="36"/>
      <c r="G43" s="37"/>
      <c r="H43" s="35"/>
      <c r="I43" s="36"/>
      <c r="J43" s="37"/>
      <c r="K43" s="35"/>
      <c r="L43" s="36"/>
      <c r="M43" s="37"/>
      <c r="N43" s="35"/>
      <c r="O43" s="84"/>
      <c r="P43" s="37"/>
      <c r="Q43" s="35"/>
      <c r="R43" s="84"/>
      <c r="S43" s="37"/>
      <c r="T43" s="35"/>
      <c r="U43" s="84"/>
      <c r="V43" s="37"/>
      <c r="W43" s="38"/>
      <c r="X43" s="37"/>
      <c r="Y43" s="59"/>
      <c r="Z43" s="35" t="str">
        <f t="shared" si="0"/>
        <v/>
      </c>
      <c r="AA43" s="36" t="str">
        <f t="shared" si="1"/>
        <v/>
      </c>
      <c r="AB43" s="36" t="str">
        <f t="shared" si="2"/>
        <v/>
      </c>
      <c r="AC43" s="102" t="str">
        <f t="shared" si="3"/>
        <v/>
      </c>
      <c r="AD43" s="102" t="str">
        <f t="shared" si="4"/>
        <v/>
      </c>
      <c r="AE43" s="102" t="str">
        <f t="shared" si="5"/>
        <v/>
      </c>
      <c r="AF43" s="36" t="str">
        <f t="shared" si="6"/>
        <v/>
      </c>
      <c r="AG43" s="143" t="str">
        <f t="shared" si="7"/>
        <v/>
      </c>
      <c r="AI43" s="21" t="str">
        <f>+'CORTE I '!AH43</f>
        <v/>
      </c>
      <c r="AJ43" s="22" t="str">
        <f>+'CORTE II'!AG43</f>
        <v/>
      </c>
      <c r="AK43" s="22" t="str">
        <f>+'CORTE III'!AG43</f>
        <v/>
      </c>
      <c r="AL43" s="22"/>
      <c r="AM43" s="20"/>
      <c r="AN43" s="16"/>
      <c r="AO43" s="177">
        <f>IF('CORTE I '!D43&gt;0,'CORTE I '!$C$3*AI43+'CORTE I '!$C$4*'CORTE III'!AJ43+'CORTE I '!$C$5*'CORTE III'!AK43+'CORTE I '!$C$6*'CORTE III'!AL43+'CORTE I '!$C$7*'CORTE III'!AM43,0)</f>
        <v>0</v>
      </c>
      <c r="AP43" s="22"/>
      <c r="AQ43" s="133"/>
      <c r="AR43" s="129"/>
      <c r="AS43" s="129"/>
      <c r="AT43" s="129"/>
      <c r="AU43" s="233"/>
      <c r="AV43" s="234"/>
      <c r="AW43" s="235"/>
      <c r="AX43" s="236"/>
      <c r="AY43" s="237"/>
      <c r="AZ43" s="238"/>
    </row>
    <row r="44" spans="1:52" ht="15.75" thickBot="1" x14ac:dyDescent="0.3">
      <c r="A44" s="107">
        <v>33</v>
      </c>
      <c r="B44" s="108">
        <f>'CORTE I '!B44</f>
        <v>0</v>
      </c>
      <c r="C44" s="108">
        <f>'CORTE I '!C44</f>
        <v>0</v>
      </c>
      <c r="D44" s="154">
        <f>+'CORTE I '!D44</f>
        <v>0</v>
      </c>
      <c r="E44" s="43"/>
      <c r="F44" s="44"/>
      <c r="G44" s="45"/>
      <c r="H44" s="43"/>
      <c r="I44" s="44"/>
      <c r="J44" s="45"/>
      <c r="K44" s="43"/>
      <c r="L44" s="44"/>
      <c r="M44" s="45"/>
      <c r="N44" s="43"/>
      <c r="O44" s="85"/>
      <c r="P44" s="45"/>
      <c r="Q44" s="43"/>
      <c r="R44" s="85"/>
      <c r="S44" s="45"/>
      <c r="T44" s="43"/>
      <c r="U44" s="85"/>
      <c r="V44" s="45"/>
      <c r="W44" s="46"/>
      <c r="X44" s="45"/>
      <c r="Y44" s="59"/>
      <c r="Z44" s="43" t="str">
        <f t="shared" si="0"/>
        <v/>
      </c>
      <c r="AA44" s="44" t="str">
        <f t="shared" si="1"/>
        <v/>
      </c>
      <c r="AB44" s="44" t="str">
        <f t="shared" si="2"/>
        <v/>
      </c>
      <c r="AC44" s="101" t="str">
        <f t="shared" si="3"/>
        <v/>
      </c>
      <c r="AD44" s="101" t="str">
        <f t="shared" si="4"/>
        <v/>
      </c>
      <c r="AE44" s="101" t="str">
        <f t="shared" si="5"/>
        <v/>
      </c>
      <c r="AF44" s="44" t="str">
        <f t="shared" si="6"/>
        <v/>
      </c>
      <c r="AG44" s="143" t="str">
        <f t="shared" si="7"/>
        <v/>
      </c>
      <c r="AI44" s="21" t="str">
        <f>+'CORTE I '!AH44</f>
        <v/>
      </c>
      <c r="AJ44" s="22" t="str">
        <f>+'CORTE II'!AG44</f>
        <v/>
      </c>
      <c r="AK44" s="22" t="str">
        <f>+'CORTE III'!AG44</f>
        <v/>
      </c>
      <c r="AL44" s="62"/>
      <c r="AM44" s="63"/>
      <c r="AN44" s="16"/>
      <c r="AO44" s="177">
        <f>IF('CORTE I '!D44&gt;0,'CORTE I '!$C$3*AI44+'CORTE I '!$C$4*'CORTE III'!AJ44+'CORTE I '!$C$5*'CORTE III'!AK44+'CORTE I '!$C$6*'CORTE III'!AL44+'CORTE I '!$C$7*'CORTE III'!AM44,0)</f>
        <v>0</v>
      </c>
      <c r="AP44" s="22"/>
      <c r="AQ44" s="133"/>
      <c r="AR44" s="128"/>
      <c r="AS44" s="128"/>
      <c r="AT44" s="128"/>
      <c r="AU44" s="227"/>
      <c r="AV44" s="228"/>
      <c r="AW44" s="229"/>
      <c r="AX44" s="230"/>
      <c r="AY44" s="231"/>
      <c r="AZ44" s="232"/>
    </row>
    <row r="45" spans="1:52" ht="15.75" thickBot="1" x14ac:dyDescent="0.3">
      <c r="A45" s="19">
        <v>34</v>
      </c>
      <c r="B45" s="36">
        <f>'CORTE I '!B45</f>
        <v>0</v>
      </c>
      <c r="C45" s="36">
        <f>'CORTE I '!C45</f>
        <v>0</v>
      </c>
      <c r="D45" s="153">
        <f>+'CORTE I '!D45</f>
        <v>0</v>
      </c>
      <c r="E45" s="35"/>
      <c r="F45" s="36"/>
      <c r="G45" s="37"/>
      <c r="H45" s="35"/>
      <c r="I45" s="36"/>
      <c r="J45" s="37"/>
      <c r="K45" s="35"/>
      <c r="L45" s="36"/>
      <c r="M45" s="37"/>
      <c r="N45" s="35"/>
      <c r="O45" s="84"/>
      <c r="P45" s="37"/>
      <c r="Q45" s="35"/>
      <c r="R45" s="84"/>
      <c r="S45" s="37"/>
      <c r="T45" s="35"/>
      <c r="U45" s="84"/>
      <c r="V45" s="37"/>
      <c r="W45" s="38"/>
      <c r="X45" s="37"/>
      <c r="Y45" s="59"/>
      <c r="Z45" s="35" t="str">
        <f t="shared" si="0"/>
        <v/>
      </c>
      <c r="AA45" s="36" t="str">
        <f t="shared" si="1"/>
        <v/>
      </c>
      <c r="AB45" s="36" t="str">
        <f t="shared" si="2"/>
        <v/>
      </c>
      <c r="AC45" s="102" t="str">
        <f t="shared" si="3"/>
        <v/>
      </c>
      <c r="AD45" s="102" t="str">
        <f t="shared" si="4"/>
        <v/>
      </c>
      <c r="AE45" s="102" t="str">
        <f t="shared" si="5"/>
        <v/>
      </c>
      <c r="AF45" s="36" t="str">
        <f t="shared" si="6"/>
        <v/>
      </c>
      <c r="AG45" s="143" t="str">
        <f t="shared" si="7"/>
        <v/>
      </c>
      <c r="AI45" s="21" t="str">
        <f>+'CORTE I '!AH45</f>
        <v/>
      </c>
      <c r="AJ45" s="22" t="str">
        <f>+'CORTE II'!AG45</f>
        <v/>
      </c>
      <c r="AK45" s="22" t="str">
        <f>+'CORTE III'!AG45</f>
        <v/>
      </c>
      <c r="AL45" s="22"/>
      <c r="AM45" s="20"/>
      <c r="AN45" s="16"/>
      <c r="AO45" s="177">
        <f>IF('CORTE I '!D45&gt;0,'CORTE I '!$C$3*AI45+'CORTE I '!$C$4*'CORTE III'!AJ45+'CORTE I '!$C$5*'CORTE III'!AK45+'CORTE I '!$C$6*'CORTE III'!AL45+'CORTE I '!$C$7*'CORTE III'!AM45,0)</f>
        <v>0</v>
      </c>
      <c r="AP45" s="22"/>
      <c r="AQ45" s="133"/>
      <c r="AR45" s="129"/>
      <c r="AS45" s="129"/>
      <c r="AT45" s="129"/>
      <c r="AU45" s="233"/>
      <c r="AV45" s="234"/>
      <c r="AW45" s="235"/>
      <c r="AX45" s="236"/>
      <c r="AY45" s="237"/>
      <c r="AZ45" s="238"/>
    </row>
    <row r="46" spans="1:52" ht="15.75" thickBot="1" x14ac:dyDescent="0.3">
      <c r="A46" s="107">
        <v>35</v>
      </c>
      <c r="B46" s="108">
        <f>'CORTE I '!B46</f>
        <v>0</v>
      </c>
      <c r="C46" s="108">
        <f>'CORTE I '!C46</f>
        <v>0</v>
      </c>
      <c r="D46" s="154">
        <f>+'CORTE I '!D46</f>
        <v>0</v>
      </c>
      <c r="E46" s="43"/>
      <c r="F46" s="44"/>
      <c r="G46" s="45"/>
      <c r="H46" s="43"/>
      <c r="I46" s="44"/>
      <c r="J46" s="45"/>
      <c r="K46" s="43"/>
      <c r="L46" s="44"/>
      <c r="M46" s="45"/>
      <c r="N46" s="43"/>
      <c r="O46" s="85"/>
      <c r="P46" s="45"/>
      <c r="Q46" s="43"/>
      <c r="R46" s="85"/>
      <c r="S46" s="45"/>
      <c r="T46" s="43"/>
      <c r="U46" s="85"/>
      <c r="V46" s="45"/>
      <c r="W46" s="46"/>
      <c r="X46" s="45"/>
      <c r="Y46" s="59"/>
      <c r="Z46" s="43" t="str">
        <f t="shared" si="0"/>
        <v/>
      </c>
      <c r="AA46" s="44" t="str">
        <f t="shared" si="1"/>
        <v/>
      </c>
      <c r="AB46" s="44" t="str">
        <f t="shared" si="2"/>
        <v/>
      </c>
      <c r="AC46" s="101" t="str">
        <f t="shared" si="3"/>
        <v/>
      </c>
      <c r="AD46" s="101" t="str">
        <f t="shared" si="4"/>
        <v/>
      </c>
      <c r="AE46" s="101" t="str">
        <f t="shared" si="5"/>
        <v/>
      </c>
      <c r="AF46" s="44" t="str">
        <f t="shared" si="6"/>
        <v/>
      </c>
      <c r="AG46" s="143" t="str">
        <f t="shared" si="7"/>
        <v/>
      </c>
      <c r="AI46" s="21" t="str">
        <f>+'CORTE I '!AH46</f>
        <v/>
      </c>
      <c r="AJ46" s="22" t="str">
        <f>+'CORTE II'!AG46</f>
        <v/>
      </c>
      <c r="AK46" s="22" t="str">
        <f>+'CORTE III'!AG46</f>
        <v/>
      </c>
      <c r="AL46" s="62"/>
      <c r="AM46" s="63"/>
      <c r="AN46" s="16"/>
      <c r="AO46" s="177">
        <f>IF('CORTE I '!D46&gt;0,'CORTE I '!$C$3*AI46+'CORTE I '!$C$4*'CORTE III'!AJ46+'CORTE I '!$C$5*'CORTE III'!AK46+'CORTE I '!$C$6*'CORTE III'!AL46+'CORTE I '!$C$7*'CORTE III'!AM46,0)</f>
        <v>0</v>
      </c>
      <c r="AP46" s="22"/>
      <c r="AQ46" s="133"/>
      <c r="AR46" s="128"/>
      <c r="AS46" s="128"/>
      <c r="AT46" s="128"/>
      <c r="AU46" s="227"/>
      <c r="AV46" s="228"/>
      <c r="AW46" s="229"/>
      <c r="AX46" s="230"/>
      <c r="AY46" s="231"/>
      <c r="AZ46" s="232"/>
    </row>
    <row r="47" spans="1:52" ht="15.75" thickBot="1" x14ac:dyDescent="0.3">
      <c r="A47" s="19">
        <v>36</v>
      </c>
      <c r="B47" s="36">
        <f>'CORTE I '!B47</f>
        <v>0</v>
      </c>
      <c r="C47" s="36">
        <f>'CORTE I '!C47</f>
        <v>0</v>
      </c>
      <c r="D47" s="153">
        <f>+'CORTE I '!D47</f>
        <v>0</v>
      </c>
      <c r="E47" s="35"/>
      <c r="F47" s="36"/>
      <c r="G47" s="37"/>
      <c r="H47" s="35"/>
      <c r="I47" s="36"/>
      <c r="J47" s="37"/>
      <c r="K47" s="35"/>
      <c r="L47" s="36"/>
      <c r="M47" s="37"/>
      <c r="N47" s="35"/>
      <c r="O47" s="84"/>
      <c r="P47" s="37"/>
      <c r="Q47" s="35"/>
      <c r="R47" s="84"/>
      <c r="S47" s="37"/>
      <c r="T47" s="35"/>
      <c r="U47" s="84"/>
      <c r="V47" s="37"/>
      <c r="W47" s="38"/>
      <c r="X47" s="37"/>
      <c r="Y47" s="59"/>
      <c r="Z47" s="35" t="str">
        <f t="shared" si="0"/>
        <v/>
      </c>
      <c r="AA47" s="36" t="str">
        <f t="shared" si="1"/>
        <v/>
      </c>
      <c r="AB47" s="36" t="str">
        <f t="shared" si="2"/>
        <v/>
      </c>
      <c r="AC47" s="102" t="str">
        <f t="shared" si="3"/>
        <v/>
      </c>
      <c r="AD47" s="102" t="str">
        <f t="shared" si="4"/>
        <v/>
      </c>
      <c r="AE47" s="102" t="str">
        <f t="shared" si="5"/>
        <v/>
      </c>
      <c r="AF47" s="36" t="str">
        <f t="shared" si="6"/>
        <v/>
      </c>
      <c r="AG47" s="143" t="str">
        <f t="shared" si="7"/>
        <v/>
      </c>
      <c r="AI47" s="21" t="str">
        <f>+'CORTE I '!AH47</f>
        <v/>
      </c>
      <c r="AJ47" s="22" t="str">
        <f>+'CORTE II'!AG47</f>
        <v/>
      </c>
      <c r="AK47" s="22" t="str">
        <f>+'CORTE III'!AG47</f>
        <v/>
      </c>
      <c r="AL47" s="22"/>
      <c r="AM47" s="20"/>
      <c r="AN47" s="16"/>
      <c r="AO47" s="177">
        <f>IF('CORTE I '!D47&gt;0,'CORTE I '!$C$3*AI47+'CORTE I '!$C$4*'CORTE III'!AJ47+'CORTE I '!$C$5*'CORTE III'!AK47+'CORTE I '!$C$6*'CORTE III'!AL47+'CORTE I '!$C$7*'CORTE III'!AM47,0)</f>
        <v>0</v>
      </c>
      <c r="AP47" s="22"/>
      <c r="AQ47" s="133"/>
      <c r="AR47" s="129"/>
      <c r="AS47" s="129"/>
      <c r="AT47" s="129"/>
      <c r="AU47" s="233"/>
      <c r="AV47" s="234"/>
      <c r="AW47" s="235"/>
      <c r="AX47" s="236"/>
      <c r="AY47" s="237"/>
      <c r="AZ47" s="238"/>
    </row>
    <row r="48" spans="1:52" ht="15.75" thickBot="1" x14ac:dyDescent="0.3">
      <c r="A48" s="107">
        <v>37</v>
      </c>
      <c r="B48" s="108">
        <f>'CORTE I '!B48</f>
        <v>0</v>
      </c>
      <c r="C48" s="108">
        <f>'CORTE I '!C48</f>
        <v>0</v>
      </c>
      <c r="D48" s="154">
        <f>+'CORTE I '!D48</f>
        <v>0</v>
      </c>
      <c r="E48" s="43"/>
      <c r="F48" s="44"/>
      <c r="G48" s="45"/>
      <c r="H48" s="43"/>
      <c r="I48" s="44"/>
      <c r="J48" s="45"/>
      <c r="K48" s="43"/>
      <c r="L48" s="44"/>
      <c r="M48" s="45"/>
      <c r="N48" s="43"/>
      <c r="O48" s="85"/>
      <c r="P48" s="45"/>
      <c r="Q48" s="43"/>
      <c r="R48" s="85"/>
      <c r="S48" s="45"/>
      <c r="T48" s="43"/>
      <c r="U48" s="85"/>
      <c r="V48" s="45"/>
      <c r="W48" s="46"/>
      <c r="X48" s="45"/>
      <c r="Y48" s="59"/>
      <c r="Z48" s="43" t="str">
        <f t="shared" si="0"/>
        <v/>
      </c>
      <c r="AA48" s="44" t="str">
        <f t="shared" si="1"/>
        <v/>
      </c>
      <c r="AB48" s="44" t="str">
        <f t="shared" si="2"/>
        <v/>
      </c>
      <c r="AC48" s="101" t="str">
        <f t="shared" si="3"/>
        <v/>
      </c>
      <c r="AD48" s="101" t="str">
        <f t="shared" si="4"/>
        <v/>
      </c>
      <c r="AE48" s="101" t="str">
        <f t="shared" si="5"/>
        <v/>
      </c>
      <c r="AF48" s="44" t="str">
        <f t="shared" si="6"/>
        <v/>
      </c>
      <c r="AG48" s="143" t="str">
        <f t="shared" si="7"/>
        <v/>
      </c>
      <c r="AI48" s="21" t="str">
        <f>+'CORTE I '!AH48</f>
        <v/>
      </c>
      <c r="AJ48" s="22" t="str">
        <f>+'CORTE II'!AG48</f>
        <v/>
      </c>
      <c r="AK48" s="22" t="str">
        <f>+'CORTE III'!AG48</f>
        <v/>
      </c>
      <c r="AL48" s="62"/>
      <c r="AM48" s="63"/>
      <c r="AN48" s="16"/>
      <c r="AO48" s="177">
        <f>IF('CORTE I '!D48&gt;0,'CORTE I '!$C$3*AI48+'CORTE I '!$C$4*'CORTE III'!AJ48+'CORTE I '!$C$5*'CORTE III'!AK48+'CORTE I '!$C$6*'CORTE III'!AL48+'CORTE I '!$C$7*'CORTE III'!AM48,0)</f>
        <v>0</v>
      </c>
      <c r="AP48" s="22"/>
      <c r="AQ48" s="133"/>
      <c r="AR48" s="128"/>
      <c r="AS48" s="128"/>
      <c r="AT48" s="128"/>
      <c r="AU48" s="227"/>
      <c r="AV48" s="228"/>
      <c r="AW48" s="229"/>
      <c r="AX48" s="230"/>
      <c r="AY48" s="231"/>
      <c r="AZ48" s="232"/>
    </row>
    <row r="49" spans="1:52" ht="15.75" thickBot="1" x14ac:dyDescent="0.3">
      <c r="A49" s="19">
        <v>38</v>
      </c>
      <c r="B49" s="36">
        <f>'CORTE I '!B49</f>
        <v>0</v>
      </c>
      <c r="C49" s="36">
        <f>'CORTE I '!C49</f>
        <v>0</v>
      </c>
      <c r="D49" s="153">
        <f>+'CORTE I '!D49</f>
        <v>0</v>
      </c>
      <c r="E49" s="35"/>
      <c r="F49" s="36"/>
      <c r="G49" s="37"/>
      <c r="H49" s="35"/>
      <c r="I49" s="36"/>
      <c r="J49" s="37"/>
      <c r="K49" s="35"/>
      <c r="L49" s="36"/>
      <c r="M49" s="37"/>
      <c r="N49" s="35"/>
      <c r="O49" s="84"/>
      <c r="P49" s="37"/>
      <c r="Q49" s="35"/>
      <c r="R49" s="84"/>
      <c r="S49" s="37"/>
      <c r="T49" s="35"/>
      <c r="U49" s="84"/>
      <c r="V49" s="37"/>
      <c r="W49" s="38"/>
      <c r="X49" s="37"/>
      <c r="Y49" s="59"/>
      <c r="Z49" s="35" t="str">
        <f t="shared" si="0"/>
        <v/>
      </c>
      <c r="AA49" s="36" t="str">
        <f t="shared" si="1"/>
        <v/>
      </c>
      <c r="AB49" s="36" t="str">
        <f t="shared" si="2"/>
        <v/>
      </c>
      <c r="AC49" s="102" t="str">
        <f t="shared" si="3"/>
        <v/>
      </c>
      <c r="AD49" s="102" t="str">
        <f t="shared" si="4"/>
        <v/>
      </c>
      <c r="AE49" s="102" t="str">
        <f t="shared" si="5"/>
        <v/>
      </c>
      <c r="AF49" s="36" t="str">
        <f t="shared" si="6"/>
        <v/>
      </c>
      <c r="AG49" s="143" t="str">
        <f t="shared" si="7"/>
        <v/>
      </c>
      <c r="AI49" s="21" t="str">
        <f>+'CORTE I '!AH49</f>
        <v/>
      </c>
      <c r="AJ49" s="22" t="str">
        <f>+'CORTE II'!AG49</f>
        <v/>
      </c>
      <c r="AK49" s="22" t="str">
        <f>+'CORTE III'!AG49</f>
        <v/>
      </c>
      <c r="AL49" s="22"/>
      <c r="AM49" s="20"/>
      <c r="AN49" s="16"/>
      <c r="AO49" s="177">
        <f>IF('CORTE I '!D49&gt;0,'CORTE I '!$C$3*AI49+'CORTE I '!$C$4*'CORTE III'!AJ49+'CORTE I '!$C$5*'CORTE III'!AK49+'CORTE I '!$C$6*'CORTE III'!AL49+'CORTE I '!$C$7*'CORTE III'!AM49,0)</f>
        <v>0</v>
      </c>
      <c r="AP49" s="22"/>
      <c r="AQ49" s="133"/>
      <c r="AR49" s="129"/>
      <c r="AS49" s="129"/>
      <c r="AT49" s="129"/>
      <c r="AU49" s="233"/>
      <c r="AV49" s="234"/>
      <c r="AW49" s="235"/>
      <c r="AX49" s="236"/>
      <c r="AY49" s="237"/>
      <c r="AZ49" s="238"/>
    </row>
    <row r="50" spans="1:52" ht="15.75" thickBot="1" x14ac:dyDescent="0.3">
      <c r="A50" s="107">
        <v>39</v>
      </c>
      <c r="B50" s="108">
        <f>'CORTE I '!B50</f>
        <v>0</v>
      </c>
      <c r="C50" s="108">
        <f>'CORTE I '!C50</f>
        <v>0</v>
      </c>
      <c r="D50" s="154">
        <f>+'CORTE I '!D50</f>
        <v>0</v>
      </c>
      <c r="E50" s="43"/>
      <c r="F50" s="44"/>
      <c r="G50" s="45"/>
      <c r="H50" s="43"/>
      <c r="I50" s="44"/>
      <c r="J50" s="45"/>
      <c r="K50" s="43"/>
      <c r="L50" s="44"/>
      <c r="M50" s="45"/>
      <c r="N50" s="43"/>
      <c r="O50" s="85"/>
      <c r="P50" s="45"/>
      <c r="Q50" s="43"/>
      <c r="R50" s="85"/>
      <c r="S50" s="45"/>
      <c r="T50" s="43"/>
      <c r="U50" s="85"/>
      <c r="V50" s="45"/>
      <c r="W50" s="46"/>
      <c r="X50" s="45"/>
      <c r="Y50" s="59"/>
      <c r="Z50" s="43" t="str">
        <f t="shared" si="0"/>
        <v/>
      </c>
      <c r="AA50" s="44" t="str">
        <f t="shared" si="1"/>
        <v/>
      </c>
      <c r="AB50" s="44" t="str">
        <f t="shared" si="2"/>
        <v/>
      </c>
      <c r="AC50" s="101" t="str">
        <f t="shared" si="3"/>
        <v/>
      </c>
      <c r="AD50" s="101" t="str">
        <f t="shared" si="4"/>
        <v/>
      </c>
      <c r="AE50" s="101" t="str">
        <f t="shared" si="5"/>
        <v/>
      </c>
      <c r="AF50" s="44" t="str">
        <f t="shared" si="6"/>
        <v/>
      </c>
      <c r="AG50" s="143" t="str">
        <f t="shared" si="7"/>
        <v/>
      </c>
      <c r="AI50" s="21" t="str">
        <f>+'CORTE I '!AH50</f>
        <v/>
      </c>
      <c r="AJ50" s="22" t="str">
        <f>+'CORTE II'!AG50</f>
        <v/>
      </c>
      <c r="AK50" s="22" t="str">
        <f>+'CORTE III'!AG50</f>
        <v/>
      </c>
      <c r="AL50" s="62"/>
      <c r="AM50" s="63"/>
      <c r="AN50" s="16"/>
      <c r="AO50" s="177">
        <f>IF('CORTE I '!D50&gt;0,'CORTE I '!$C$3*AI50+'CORTE I '!$C$4*'CORTE III'!AJ50+'CORTE I '!$C$5*'CORTE III'!AK50+'CORTE I '!$C$6*'CORTE III'!AL50+'CORTE I '!$C$7*'CORTE III'!AM50,0)</f>
        <v>0</v>
      </c>
      <c r="AP50" s="22"/>
      <c r="AQ50" s="133"/>
      <c r="AR50" s="128"/>
      <c r="AS50" s="128"/>
      <c r="AT50" s="128"/>
      <c r="AU50" s="227"/>
      <c r="AV50" s="228"/>
      <c r="AW50" s="229"/>
      <c r="AX50" s="230"/>
      <c r="AY50" s="231"/>
      <c r="AZ50" s="232"/>
    </row>
    <row r="51" spans="1:52" ht="15.75" thickBot="1" x14ac:dyDescent="0.3">
      <c r="A51" s="19">
        <v>40</v>
      </c>
      <c r="B51" s="36">
        <f>'CORTE I '!B51</f>
        <v>0</v>
      </c>
      <c r="C51" s="36">
        <f>'CORTE I '!C51</f>
        <v>0</v>
      </c>
      <c r="D51" s="153">
        <f>+'CORTE I '!D51</f>
        <v>0</v>
      </c>
      <c r="E51" s="35"/>
      <c r="F51" s="36"/>
      <c r="G51" s="37"/>
      <c r="H51" s="35"/>
      <c r="I51" s="36"/>
      <c r="J51" s="37"/>
      <c r="K51" s="35"/>
      <c r="L51" s="36"/>
      <c r="M51" s="37"/>
      <c r="N51" s="35"/>
      <c r="O51" s="84"/>
      <c r="P51" s="37"/>
      <c r="Q51" s="35"/>
      <c r="R51" s="84"/>
      <c r="S51" s="37"/>
      <c r="T51" s="35"/>
      <c r="U51" s="84"/>
      <c r="V51" s="37"/>
      <c r="W51" s="38"/>
      <c r="X51" s="37"/>
      <c r="Y51" s="59"/>
      <c r="Z51" s="35" t="str">
        <f t="shared" si="0"/>
        <v/>
      </c>
      <c r="AA51" s="36" t="str">
        <f t="shared" si="1"/>
        <v/>
      </c>
      <c r="AB51" s="36" t="str">
        <f t="shared" si="2"/>
        <v/>
      </c>
      <c r="AC51" s="102" t="str">
        <f t="shared" si="3"/>
        <v/>
      </c>
      <c r="AD51" s="102" t="str">
        <f t="shared" si="4"/>
        <v/>
      </c>
      <c r="AE51" s="102" t="str">
        <f t="shared" si="5"/>
        <v/>
      </c>
      <c r="AF51" s="36" t="str">
        <f t="shared" si="6"/>
        <v/>
      </c>
      <c r="AG51" s="143" t="str">
        <f t="shared" si="7"/>
        <v/>
      </c>
      <c r="AI51" s="21" t="str">
        <f>+'CORTE I '!AH51</f>
        <v/>
      </c>
      <c r="AJ51" s="22" t="str">
        <f>+'CORTE II'!AG51</f>
        <v/>
      </c>
      <c r="AK51" s="22" t="str">
        <f>+'CORTE III'!AG51</f>
        <v/>
      </c>
      <c r="AL51" s="22"/>
      <c r="AM51" s="20"/>
      <c r="AN51" s="16"/>
      <c r="AO51" s="177">
        <f>IF('CORTE I '!D51&gt;0,'CORTE I '!$C$3*AI51+'CORTE I '!$C$4*'CORTE III'!AJ51+'CORTE I '!$C$5*'CORTE III'!AK51+'CORTE I '!$C$6*'CORTE III'!AL51+'CORTE I '!$C$7*'CORTE III'!AM51,0)</f>
        <v>0</v>
      </c>
      <c r="AP51" s="22"/>
      <c r="AQ51" s="133"/>
      <c r="AR51" s="129"/>
      <c r="AS51" s="129"/>
      <c r="AT51" s="129"/>
      <c r="AU51" s="233"/>
      <c r="AV51" s="234"/>
      <c r="AW51" s="235"/>
      <c r="AX51" s="236"/>
      <c r="AY51" s="237"/>
      <c r="AZ51" s="238"/>
    </row>
    <row r="52" spans="1:52" ht="15.75" thickBot="1" x14ac:dyDescent="0.3">
      <c r="A52" s="107">
        <v>41</v>
      </c>
      <c r="B52" s="108">
        <f>'CORTE I '!B52</f>
        <v>0</v>
      </c>
      <c r="C52" s="108">
        <f>'CORTE I '!C52</f>
        <v>0</v>
      </c>
      <c r="D52" s="154">
        <f>+'CORTE I '!D52</f>
        <v>0</v>
      </c>
      <c r="E52" s="43"/>
      <c r="F52" s="44"/>
      <c r="G52" s="45"/>
      <c r="H52" s="43"/>
      <c r="I52" s="44"/>
      <c r="J52" s="45"/>
      <c r="K52" s="43"/>
      <c r="L52" s="44"/>
      <c r="M52" s="45"/>
      <c r="N52" s="43"/>
      <c r="O52" s="85"/>
      <c r="P52" s="45"/>
      <c r="Q52" s="43"/>
      <c r="R52" s="85"/>
      <c r="S52" s="45"/>
      <c r="T52" s="43"/>
      <c r="U52" s="85"/>
      <c r="V52" s="45"/>
      <c r="W52" s="46"/>
      <c r="X52" s="45"/>
      <c r="Y52" s="59"/>
      <c r="Z52" s="43" t="str">
        <f t="shared" si="0"/>
        <v/>
      </c>
      <c r="AA52" s="44" t="str">
        <f t="shared" si="1"/>
        <v/>
      </c>
      <c r="AB52" s="44" t="str">
        <f t="shared" si="2"/>
        <v/>
      </c>
      <c r="AC52" s="101" t="str">
        <f t="shared" si="3"/>
        <v/>
      </c>
      <c r="AD52" s="101" t="str">
        <f t="shared" si="4"/>
        <v/>
      </c>
      <c r="AE52" s="101" t="str">
        <f t="shared" si="5"/>
        <v/>
      </c>
      <c r="AF52" s="44" t="str">
        <f t="shared" si="6"/>
        <v/>
      </c>
      <c r="AG52" s="143" t="str">
        <f t="shared" si="7"/>
        <v/>
      </c>
      <c r="AI52" s="21" t="str">
        <f>+'CORTE I '!AH52</f>
        <v/>
      </c>
      <c r="AJ52" s="22" t="str">
        <f>+'CORTE II'!AG52</f>
        <v/>
      </c>
      <c r="AK52" s="22" t="str">
        <f>+'CORTE III'!AG52</f>
        <v/>
      </c>
      <c r="AL52" s="62"/>
      <c r="AM52" s="63"/>
      <c r="AN52" s="16"/>
      <c r="AO52" s="177">
        <f>IF('CORTE I '!D52&gt;0,'CORTE I '!$C$3*AI52+'CORTE I '!$C$4*'CORTE III'!AJ52+'CORTE I '!$C$5*'CORTE III'!AK52+'CORTE I '!$C$6*'CORTE III'!AL52+'CORTE I '!$C$7*'CORTE III'!AM52,0)</f>
        <v>0</v>
      </c>
      <c r="AP52" s="22"/>
      <c r="AQ52" s="133"/>
      <c r="AR52" s="128"/>
      <c r="AS52" s="128"/>
      <c r="AT52" s="128"/>
      <c r="AU52" s="227"/>
      <c r="AV52" s="228"/>
      <c r="AW52" s="229"/>
      <c r="AX52" s="230"/>
      <c r="AY52" s="231"/>
      <c r="AZ52" s="232"/>
    </row>
    <row r="53" spans="1:52" ht="15.75" thickBot="1" x14ac:dyDescent="0.3">
      <c r="A53" s="19">
        <v>42</v>
      </c>
      <c r="B53" s="36">
        <f>'CORTE I '!B53</f>
        <v>0</v>
      </c>
      <c r="C53" s="36">
        <f>'CORTE I '!C53</f>
        <v>0</v>
      </c>
      <c r="D53" s="153">
        <f>+'CORTE I '!D53</f>
        <v>0</v>
      </c>
      <c r="E53" s="35"/>
      <c r="F53" s="36"/>
      <c r="G53" s="37"/>
      <c r="H53" s="35"/>
      <c r="I53" s="36"/>
      <c r="J53" s="37"/>
      <c r="K53" s="35"/>
      <c r="L53" s="36"/>
      <c r="M53" s="37"/>
      <c r="N53" s="35"/>
      <c r="O53" s="84"/>
      <c r="P53" s="37"/>
      <c r="Q53" s="35"/>
      <c r="R53" s="84"/>
      <c r="S53" s="37"/>
      <c r="T53" s="35"/>
      <c r="U53" s="84"/>
      <c r="V53" s="37"/>
      <c r="W53" s="38"/>
      <c r="X53" s="37"/>
      <c r="Y53" s="59"/>
      <c r="Z53" s="35" t="str">
        <f t="shared" si="0"/>
        <v/>
      </c>
      <c r="AA53" s="36" t="str">
        <f t="shared" si="1"/>
        <v/>
      </c>
      <c r="AB53" s="36" t="str">
        <f t="shared" si="2"/>
        <v/>
      </c>
      <c r="AC53" s="102" t="str">
        <f t="shared" si="3"/>
        <v/>
      </c>
      <c r="AD53" s="102" t="str">
        <f t="shared" si="4"/>
        <v/>
      </c>
      <c r="AE53" s="102" t="str">
        <f t="shared" si="5"/>
        <v/>
      </c>
      <c r="AF53" s="36" t="str">
        <f t="shared" si="6"/>
        <v/>
      </c>
      <c r="AG53" s="143" t="str">
        <f t="shared" si="7"/>
        <v/>
      </c>
      <c r="AI53" s="21" t="str">
        <f>+'CORTE I '!AH53</f>
        <v/>
      </c>
      <c r="AJ53" s="22" t="str">
        <f>+'CORTE II'!AG53</f>
        <v/>
      </c>
      <c r="AK53" s="22" t="str">
        <f>+'CORTE III'!AG53</f>
        <v/>
      </c>
      <c r="AL53" s="22"/>
      <c r="AM53" s="20"/>
      <c r="AN53" s="16"/>
      <c r="AO53" s="177">
        <f>IF('CORTE I '!D53&gt;0,'CORTE I '!$C$3*AI53+'CORTE I '!$C$4*'CORTE III'!AJ53+'CORTE I '!$C$5*'CORTE III'!AK53+'CORTE I '!$C$6*'CORTE III'!AL53+'CORTE I '!$C$7*'CORTE III'!AM53,0)</f>
        <v>0</v>
      </c>
      <c r="AP53" s="22"/>
      <c r="AQ53" s="133"/>
      <c r="AR53" s="129"/>
      <c r="AS53" s="129"/>
      <c r="AT53" s="129"/>
      <c r="AU53" s="233"/>
      <c r="AV53" s="234"/>
      <c r="AW53" s="235"/>
      <c r="AX53" s="236"/>
      <c r="AY53" s="237"/>
      <c r="AZ53" s="238"/>
    </row>
    <row r="54" spans="1:52" ht="15.75" thickBot="1" x14ac:dyDescent="0.3">
      <c r="A54" s="107">
        <v>43</v>
      </c>
      <c r="B54" s="108">
        <f>'CORTE I '!B54</f>
        <v>0</v>
      </c>
      <c r="C54" s="108">
        <f>'CORTE I '!C54</f>
        <v>0</v>
      </c>
      <c r="D54" s="154">
        <f>+'CORTE I '!D54</f>
        <v>0</v>
      </c>
      <c r="E54" s="43"/>
      <c r="F54" s="44"/>
      <c r="G54" s="45"/>
      <c r="H54" s="43"/>
      <c r="I54" s="44"/>
      <c r="J54" s="45"/>
      <c r="K54" s="43"/>
      <c r="L54" s="44"/>
      <c r="M54" s="45"/>
      <c r="N54" s="43"/>
      <c r="O54" s="85"/>
      <c r="P54" s="45"/>
      <c r="Q54" s="43"/>
      <c r="R54" s="85"/>
      <c r="S54" s="45"/>
      <c r="T54" s="43"/>
      <c r="U54" s="85"/>
      <c r="V54" s="45"/>
      <c r="W54" s="46"/>
      <c r="X54" s="45"/>
      <c r="Y54" s="59"/>
      <c r="Z54" s="43" t="str">
        <f t="shared" si="0"/>
        <v/>
      </c>
      <c r="AA54" s="44" t="str">
        <f t="shared" si="1"/>
        <v/>
      </c>
      <c r="AB54" s="44" t="str">
        <f t="shared" si="2"/>
        <v/>
      </c>
      <c r="AC54" s="101" t="str">
        <f t="shared" si="3"/>
        <v/>
      </c>
      <c r="AD54" s="101" t="str">
        <f t="shared" si="4"/>
        <v/>
      </c>
      <c r="AE54" s="101" t="str">
        <f t="shared" si="5"/>
        <v/>
      </c>
      <c r="AF54" s="44" t="str">
        <f t="shared" si="6"/>
        <v/>
      </c>
      <c r="AG54" s="143" t="str">
        <f t="shared" si="7"/>
        <v/>
      </c>
      <c r="AI54" s="21" t="str">
        <f>+'CORTE I '!AH54</f>
        <v/>
      </c>
      <c r="AJ54" s="22" t="str">
        <f>+'CORTE II'!AG54</f>
        <v/>
      </c>
      <c r="AK54" s="22" t="str">
        <f>+'CORTE III'!AG54</f>
        <v/>
      </c>
      <c r="AL54" s="62"/>
      <c r="AM54" s="63"/>
      <c r="AN54" s="16"/>
      <c r="AO54" s="177">
        <f>IF('CORTE I '!D54&gt;0,'CORTE I '!$C$3*AI54+'CORTE I '!$C$4*'CORTE III'!AJ54+'CORTE I '!$C$5*'CORTE III'!AK54+'CORTE I '!$C$6*'CORTE III'!AL54+'CORTE I '!$C$7*'CORTE III'!AM54,0)</f>
        <v>0</v>
      </c>
      <c r="AP54" s="22"/>
      <c r="AQ54" s="133"/>
      <c r="AR54" s="128"/>
      <c r="AS54" s="128"/>
      <c r="AT54" s="128"/>
      <c r="AU54" s="227"/>
      <c r="AV54" s="228"/>
      <c r="AW54" s="229"/>
      <c r="AX54" s="230"/>
      <c r="AY54" s="231"/>
      <c r="AZ54" s="232"/>
    </row>
    <row r="55" spans="1:52" ht="15.75" thickBot="1" x14ac:dyDescent="0.3">
      <c r="A55" s="19">
        <v>44</v>
      </c>
      <c r="B55" s="36">
        <f>'CORTE I '!B55</f>
        <v>0</v>
      </c>
      <c r="C55" s="36">
        <f>'CORTE I '!C55</f>
        <v>0</v>
      </c>
      <c r="D55" s="153">
        <f>+'CORTE I '!D55</f>
        <v>0</v>
      </c>
      <c r="E55" s="35"/>
      <c r="F55" s="36"/>
      <c r="G55" s="37"/>
      <c r="H55" s="35"/>
      <c r="I55" s="36"/>
      <c r="J55" s="37"/>
      <c r="K55" s="35"/>
      <c r="L55" s="36"/>
      <c r="M55" s="37"/>
      <c r="N55" s="35"/>
      <c r="O55" s="84"/>
      <c r="P55" s="37"/>
      <c r="Q55" s="35"/>
      <c r="R55" s="84"/>
      <c r="S55" s="37"/>
      <c r="T55" s="35"/>
      <c r="U55" s="84"/>
      <c r="V55" s="37"/>
      <c r="W55" s="38"/>
      <c r="X55" s="37"/>
      <c r="Y55" s="59"/>
      <c r="Z55" s="35" t="str">
        <f t="shared" si="0"/>
        <v/>
      </c>
      <c r="AA55" s="36" t="str">
        <f t="shared" si="1"/>
        <v/>
      </c>
      <c r="AB55" s="36" t="str">
        <f t="shared" si="2"/>
        <v/>
      </c>
      <c r="AC55" s="102" t="str">
        <f t="shared" si="3"/>
        <v/>
      </c>
      <c r="AD55" s="102" t="str">
        <f t="shared" si="4"/>
        <v/>
      </c>
      <c r="AE55" s="102" t="str">
        <f t="shared" si="5"/>
        <v/>
      </c>
      <c r="AF55" s="36" t="str">
        <f t="shared" si="6"/>
        <v/>
      </c>
      <c r="AG55" s="143" t="str">
        <f t="shared" si="7"/>
        <v/>
      </c>
      <c r="AI55" s="21" t="str">
        <f>+'CORTE I '!AH55</f>
        <v/>
      </c>
      <c r="AJ55" s="22" t="str">
        <f>+'CORTE II'!AG55</f>
        <v/>
      </c>
      <c r="AK55" s="22" t="str">
        <f>+'CORTE III'!AG55</f>
        <v/>
      </c>
      <c r="AL55" s="22"/>
      <c r="AM55" s="20"/>
      <c r="AN55" s="16"/>
      <c r="AO55" s="177">
        <f>IF('CORTE I '!D55&gt;0,'CORTE I '!$C$3*AI55+'CORTE I '!$C$4*'CORTE III'!AJ55+'CORTE I '!$C$5*'CORTE III'!AK55+'CORTE I '!$C$6*'CORTE III'!AL55+'CORTE I '!$C$7*'CORTE III'!AM55,0)</f>
        <v>0</v>
      </c>
      <c r="AP55" s="22"/>
      <c r="AQ55" s="133"/>
      <c r="AR55" s="129"/>
      <c r="AS55" s="129"/>
      <c r="AT55" s="129"/>
      <c r="AU55" s="233"/>
      <c r="AV55" s="234"/>
      <c r="AW55" s="235"/>
      <c r="AX55" s="236"/>
      <c r="AY55" s="237"/>
      <c r="AZ55" s="238"/>
    </row>
    <row r="56" spans="1:52" ht="15.75" thickBot="1" x14ac:dyDescent="0.3">
      <c r="A56" s="107">
        <v>45</v>
      </c>
      <c r="B56" s="108">
        <f>'CORTE I '!B56</f>
        <v>0</v>
      </c>
      <c r="C56" s="108">
        <f>'CORTE I '!C56</f>
        <v>0</v>
      </c>
      <c r="D56" s="154">
        <f>+'CORTE I '!D56</f>
        <v>0</v>
      </c>
      <c r="E56" s="43"/>
      <c r="F56" s="44"/>
      <c r="G56" s="45"/>
      <c r="H56" s="43"/>
      <c r="I56" s="44"/>
      <c r="J56" s="45"/>
      <c r="K56" s="43"/>
      <c r="L56" s="44"/>
      <c r="M56" s="45"/>
      <c r="N56" s="43"/>
      <c r="O56" s="85"/>
      <c r="P56" s="45"/>
      <c r="Q56" s="43"/>
      <c r="R56" s="85"/>
      <c r="S56" s="45"/>
      <c r="T56" s="43"/>
      <c r="U56" s="85"/>
      <c r="V56" s="45"/>
      <c r="W56" s="46"/>
      <c r="X56" s="45"/>
      <c r="Y56" s="59"/>
      <c r="Z56" s="43" t="str">
        <f t="shared" si="0"/>
        <v/>
      </c>
      <c r="AA56" s="44" t="str">
        <f t="shared" si="1"/>
        <v/>
      </c>
      <c r="AB56" s="44" t="str">
        <f t="shared" si="2"/>
        <v/>
      </c>
      <c r="AC56" s="101" t="str">
        <f t="shared" si="3"/>
        <v/>
      </c>
      <c r="AD56" s="101" t="str">
        <f t="shared" si="4"/>
        <v/>
      </c>
      <c r="AE56" s="101" t="str">
        <f t="shared" si="5"/>
        <v/>
      </c>
      <c r="AF56" s="44" t="str">
        <f t="shared" si="6"/>
        <v/>
      </c>
      <c r="AG56" s="143" t="str">
        <f t="shared" si="7"/>
        <v/>
      </c>
      <c r="AI56" s="21" t="str">
        <f>+'CORTE I '!AH56</f>
        <v/>
      </c>
      <c r="AJ56" s="22" t="str">
        <f>+'CORTE II'!AG56</f>
        <v/>
      </c>
      <c r="AK56" s="22" t="str">
        <f>+'CORTE III'!AG56</f>
        <v/>
      </c>
      <c r="AL56" s="62"/>
      <c r="AM56" s="63"/>
      <c r="AN56" s="16"/>
      <c r="AO56" s="177">
        <f>IF('CORTE I '!D56&gt;0,'CORTE I '!$C$3*AI56+'CORTE I '!$C$4*'CORTE III'!AJ56+'CORTE I '!$C$5*'CORTE III'!AK56+'CORTE I '!$C$6*'CORTE III'!AL56+'CORTE I '!$C$7*'CORTE III'!AM56,0)</f>
        <v>0</v>
      </c>
      <c r="AP56" s="22"/>
      <c r="AQ56" s="133"/>
      <c r="AR56" s="128"/>
      <c r="AS56" s="128"/>
      <c r="AT56" s="128"/>
      <c r="AU56" s="227"/>
      <c r="AV56" s="228"/>
      <c r="AW56" s="229"/>
      <c r="AX56" s="230"/>
      <c r="AY56" s="231"/>
      <c r="AZ56" s="232"/>
    </row>
    <row r="57" spans="1:52" ht="15.75" thickBot="1" x14ac:dyDescent="0.3">
      <c r="A57" s="19">
        <v>46</v>
      </c>
      <c r="B57" s="36">
        <f>'CORTE I '!B57</f>
        <v>0</v>
      </c>
      <c r="C57" s="36">
        <f>'CORTE I '!C57</f>
        <v>0</v>
      </c>
      <c r="D57" s="153">
        <f>+'CORTE I '!D57</f>
        <v>0</v>
      </c>
      <c r="E57" s="35"/>
      <c r="F57" s="36"/>
      <c r="G57" s="37"/>
      <c r="H57" s="35"/>
      <c r="I57" s="36"/>
      <c r="J57" s="37"/>
      <c r="K57" s="35"/>
      <c r="L57" s="36"/>
      <c r="M57" s="37"/>
      <c r="N57" s="35"/>
      <c r="O57" s="84"/>
      <c r="P57" s="37"/>
      <c r="Q57" s="35"/>
      <c r="R57" s="84"/>
      <c r="S57" s="37"/>
      <c r="T57" s="35"/>
      <c r="U57" s="84"/>
      <c r="V57" s="37"/>
      <c r="W57" s="38"/>
      <c r="X57" s="37"/>
      <c r="Y57" s="59"/>
      <c r="Z57" s="35" t="str">
        <f t="shared" si="0"/>
        <v/>
      </c>
      <c r="AA57" s="36" t="str">
        <f t="shared" si="1"/>
        <v/>
      </c>
      <c r="AB57" s="36" t="str">
        <f t="shared" si="2"/>
        <v/>
      </c>
      <c r="AC57" s="102" t="str">
        <f t="shared" si="3"/>
        <v/>
      </c>
      <c r="AD57" s="102" t="str">
        <f t="shared" si="4"/>
        <v/>
      </c>
      <c r="AE57" s="102" t="str">
        <f t="shared" si="5"/>
        <v/>
      </c>
      <c r="AF57" s="36" t="str">
        <f t="shared" si="6"/>
        <v/>
      </c>
      <c r="AG57" s="143" t="str">
        <f t="shared" si="7"/>
        <v/>
      </c>
      <c r="AI57" s="21" t="str">
        <f>+'CORTE I '!AH57</f>
        <v/>
      </c>
      <c r="AJ57" s="22" t="str">
        <f>+'CORTE II'!AG57</f>
        <v/>
      </c>
      <c r="AK57" s="22" t="str">
        <f>+'CORTE III'!AG57</f>
        <v/>
      </c>
      <c r="AL57" s="22"/>
      <c r="AM57" s="20"/>
      <c r="AN57" s="16"/>
      <c r="AO57" s="177">
        <f>IF('CORTE I '!D57&gt;0,'CORTE I '!$C$3*AI57+'CORTE I '!$C$4*'CORTE III'!AJ57+'CORTE I '!$C$5*'CORTE III'!AK57+'CORTE I '!$C$6*'CORTE III'!AL57+'CORTE I '!$C$7*'CORTE III'!AM57,0)</f>
        <v>0</v>
      </c>
      <c r="AP57" s="22"/>
      <c r="AQ57" s="133"/>
      <c r="AR57" s="129"/>
      <c r="AS57" s="129"/>
      <c r="AT57" s="129"/>
      <c r="AU57" s="233"/>
      <c r="AV57" s="234"/>
      <c r="AW57" s="235"/>
      <c r="AX57" s="236"/>
      <c r="AY57" s="237"/>
      <c r="AZ57" s="238"/>
    </row>
    <row r="58" spans="1:52" ht="15.75" thickBot="1" x14ac:dyDescent="0.3">
      <c r="A58" s="107">
        <v>47</v>
      </c>
      <c r="B58" s="108">
        <f>'CORTE I '!B58</f>
        <v>0</v>
      </c>
      <c r="C58" s="108">
        <f>'CORTE I '!C58</f>
        <v>0</v>
      </c>
      <c r="D58" s="154">
        <f>+'CORTE I '!D58</f>
        <v>0</v>
      </c>
      <c r="E58" s="43"/>
      <c r="F58" s="44"/>
      <c r="G58" s="45"/>
      <c r="H58" s="43"/>
      <c r="I58" s="44"/>
      <c r="J58" s="45"/>
      <c r="K58" s="43"/>
      <c r="L58" s="44"/>
      <c r="M58" s="45"/>
      <c r="N58" s="43"/>
      <c r="O58" s="85"/>
      <c r="P58" s="45"/>
      <c r="Q58" s="43"/>
      <c r="R58" s="85"/>
      <c r="S58" s="45"/>
      <c r="T58" s="43"/>
      <c r="U58" s="85"/>
      <c r="V58" s="45"/>
      <c r="W58" s="46"/>
      <c r="X58" s="45"/>
      <c r="Y58" s="59"/>
      <c r="Z58" s="43" t="str">
        <f t="shared" si="0"/>
        <v/>
      </c>
      <c r="AA58" s="44" t="str">
        <f t="shared" si="1"/>
        <v/>
      </c>
      <c r="AB58" s="44" t="str">
        <f t="shared" si="2"/>
        <v/>
      </c>
      <c r="AC58" s="101" t="str">
        <f t="shared" si="3"/>
        <v/>
      </c>
      <c r="AD58" s="101" t="str">
        <f t="shared" si="4"/>
        <v/>
      </c>
      <c r="AE58" s="101" t="str">
        <f t="shared" si="5"/>
        <v/>
      </c>
      <c r="AF58" s="44" t="str">
        <f t="shared" si="6"/>
        <v/>
      </c>
      <c r="AG58" s="143" t="str">
        <f t="shared" si="7"/>
        <v/>
      </c>
      <c r="AI58" s="21" t="str">
        <f>+'CORTE I '!AH58</f>
        <v/>
      </c>
      <c r="AJ58" s="22" t="str">
        <f>+'CORTE II'!AG58</f>
        <v/>
      </c>
      <c r="AK58" s="22" t="str">
        <f>+'CORTE III'!AG58</f>
        <v/>
      </c>
      <c r="AL58" s="62"/>
      <c r="AM58" s="63"/>
      <c r="AN58" s="16"/>
      <c r="AO58" s="177">
        <f>IF('CORTE I '!D58&gt;0,'CORTE I '!$C$3*AI58+'CORTE I '!$C$4*'CORTE III'!AJ58+'CORTE I '!$C$5*'CORTE III'!AK58+'CORTE I '!$C$6*'CORTE III'!AL58+'CORTE I '!$C$7*'CORTE III'!AM58,0)</f>
        <v>0</v>
      </c>
      <c r="AP58" s="22"/>
      <c r="AQ58" s="133"/>
      <c r="AR58" s="128"/>
      <c r="AS58" s="128"/>
      <c r="AT58" s="128"/>
      <c r="AU58" s="227"/>
      <c r="AV58" s="228"/>
      <c r="AW58" s="229"/>
      <c r="AX58" s="230"/>
      <c r="AY58" s="231"/>
      <c r="AZ58" s="232"/>
    </row>
    <row r="59" spans="1:52" ht="15.75" thickBot="1" x14ac:dyDescent="0.3">
      <c r="A59" s="19">
        <v>48</v>
      </c>
      <c r="B59" s="36">
        <f>'CORTE I '!B59</f>
        <v>0</v>
      </c>
      <c r="C59" s="36">
        <f>'CORTE I '!C59</f>
        <v>0</v>
      </c>
      <c r="D59" s="153">
        <f>+'CORTE I '!D59</f>
        <v>0</v>
      </c>
      <c r="E59" s="35"/>
      <c r="F59" s="36"/>
      <c r="G59" s="37"/>
      <c r="H59" s="35"/>
      <c r="I59" s="36"/>
      <c r="J59" s="37"/>
      <c r="K59" s="35"/>
      <c r="L59" s="36"/>
      <c r="M59" s="37"/>
      <c r="N59" s="35"/>
      <c r="O59" s="84"/>
      <c r="P59" s="37"/>
      <c r="Q59" s="35"/>
      <c r="R59" s="84"/>
      <c r="S59" s="37"/>
      <c r="T59" s="35"/>
      <c r="U59" s="84"/>
      <c r="V59" s="37"/>
      <c r="W59" s="38"/>
      <c r="X59" s="37"/>
      <c r="Y59" s="59"/>
      <c r="Z59" s="35" t="str">
        <f t="shared" si="0"/>
        <v/>
      </c>
      <c r="AA59" s="36" t="str">
        <f t="shared" si="1"/>
        <v/>
      </c>
      <c r="AB59" s="36" t="str">
        <f t="shared" si="2"/>
        <v/>
      </c>
      <c r="AC59" s="102" t="str">
        <f t="shared" si="3"/>
        <v/>
      </c>
      <c r="AD59" s="102" t="str">
        <f t="shared" si="4"/>
        <v/>
      </c>
      <c r="AE59" s="102" t="str">
        <f t="shared" si="5"/>
        <v/>
      </c>
      <c r="AF59" s="36" t="str">
        <f t="shared" si="6"/>
        <v/>
      </c>
      <c r="AG59" s="143" t="str">
        <f t="shared" si="7"/>
        <v/>
      </c>
      <c r="AI59" s="21" t="str">
        <f>+'CORTE I '!AH59</f>
        <v/>
      </c>
      <c r="AJ59" s="22" t="str">
        <f>+'CORTE II'!AG59</f>
        <v/>
      </c>
      <c r="AK59" s="22" t="str">
        <f>+'CORTE III'!AG59</f>
        <v/>
      </c>
      <c r="AL59" s="22"/>
      <c r="AM59" s="20"/>
      <c r="AN59" s="16"/>
      <c r="AO59" s="177">
        <f>IF('CORTE I '!D59&gt;0,'CORTE I '!$C$3*AI59+'CORTE I '!$C$4*'CORTE III'!AJ59+'CORTE I '!$C$5*'CORTE III'!AK59+'CORTE I '!$C$6*'CORTE III'!AL59+'CORTE I '!$C$7*'CORTE III'!AM59,0)</f>
        <v>0</v>
      </c>
      <c r="AP59" s="22"/>
      <c r="AQ59" s="133"/>
      <c r="AR59" s="129"/>
      <c r="AS59" s="129"/>
      <c r="AT59" s="129"/>
      <c r="AU59" s="233"/>
      <c r="AV59" s="234"/>
      <c r="AW59" s="235"/>
      <c r="AX59" s="236"/>
      <c r="AY59" s="237"/>
      <c r="AZ59" s="238"/>
    </row>
    <row r="60" spans="1:52" ht="15.75" thickBot="1" x14ac:dyDescent="0.3">
      <c r="A60" s="107">
        <v>49</v>
      </c>
      <c r="B60" s="108">
        <f>'CORTE I '!B60</f>
        <v>0</v>
      </c>
      <c r="C60" s="108">
        <f>'CORTE I '!C60</f>
        <v>0</v>
      </c>
      <c r="D60" s="154">
        <f>+'CORTE I '!D60</f>
        <v>0</v>
      </c>
      <c r="E60" s="43"/>
      <c r="F60" s="44"/>
      <c r="G60" s="45"/>
      <c r="H60" s="43"/>
      <c r="I60" s="44"/>
      <c r="J60" s="45"/>
      <c r="K60" s="43"/>
      <c r="L60" s="44"/>
      <c r="M60" s="45"/>
      <c r="N60" s="43"/>
      <c r="O60" s="85"/>
      <c r="P60" s="45"/>
      <c r="Q60" s="43"/>
      <c r="R60" s="85"/>
      <c r="S60" s="45"/>
      <c r="T60" s="43"/>
      <c r="U60" s="85"/>
      <c r="V60" s="45"/>
      <c r="W60" s="46"/>
      <c r="X60" s="45"/>
      <c r="Y60" s="59"/>
      <c r="Z60" s="43" t="str">
        <f t="shared" si="0"/>
        <v/>
      </c>
      <c r="AA60" s="44" t="str">
        <f t="shared" si="1"/>
        <v/>
      </c>
      <c r="AB60" s="44" t="str">
        <f t="shared" si="2"/>
        <v/>
      </c>
      <c r="AC60" s="101" t="str">
        <f t="shared" si="3"/>
        <v/>
      </c>
      <c r="AD60" s="101" t="str">
        <f t="shared" si="4"/>
        <v/>
      </c>
      <c r="AE60" s="101" t="str">
        <f t="shared" si="5"/>
        <v/>
      </c>
      <c r="AF60" s="44" t="str">
        <f t="shared" si="6"/>
        <v/>
      </c>
      <c r="AG60" s="143" t="str">
        <f t="shared" si="7"/>
        <v/>
      </c>
      <c r="AI60" s="21" t="str">
        <f>+'CORTE I '!AH60</f>
        <v/>
      </c>
      <c r="AJ60" s="22" t="str">
        <f>+'CORTE II'!AG60</f>
        <v/>
      </c>
      <c r="AK60" s="22" t="str">
        <f>+'CORTE III'!AG60</f>
        <v/>
      </c>
      <c r="AL60" s="62"/>
      <c r="AM60" s="63"/>
      <c r="AN60" s="16"/>
      <c r="AO60" s="177">
        <f>IF('CORTE I '!D60&gt;0,'CORTE I '!$C$3*AI60+'CORTE I '!$C$4*'CORTE III'!AJ60+'CORTE I '!$C$5*'CORTE III'!AK60+'CORTE I '!$C$6*'CORTE III'!AL60+'CORTE I '!$C$7*'CORTE III'!AM60,0)</f>
        <v>0</v>
      </c>
      <c r="AP60" s="22"/>
      <c r="AQ60" s="133"/>
      <c r="AR60" s="128"/>
      <c r="AS60" s="128"/>
      <c r="AT60" s="128"/>
      <c r="AU60" s="227"/>
      <c r="AV60" s="228"/>
      <c r="AW60" s="229"/>
      <c r="AX60" s="230"/>
      <c r="AY60" s="231"/>
      <c r="AZ60" s="232"/>
    </row>
    <row r="61" spans="1:52" ht="15.75" thickBot="1" x14ac:dyDescent="0.3">
      <c r="A61" s="19">
        <v>50</v>
      </c>
      <c r="B61" s="36">
        <f>'CORTE I '!B61</f>
        <v>0</v>
      </c>
      <c r="C61" s="36">
        <f>'CORTE I '!C61</f>
        <v>0</v>
      </c>
      <c r="D61" s="153">
        <f>+'CORTE I '!D61</f>
        <v>0</v>
      </c>
      <c r="E61" s="35"/>
      <c r="F61" s="36"/>
      <c r="G61" s="37"/>
      <c r="H61" s="35"/>
      <c r="I61" s="36"/>
      <c r="J61" s="37"/>
      <c r="K61" s="35"/>
      <c r="L61" s="36"/>
      <c r="M61" s="37"/>
      <c r="N61" s="35"/>
      <c r="O61" s="84"/>
      <c r="P61" s="37"/>
      <c r="Q61" s="35"/>
      <c r="R61" s="84"/>
      <c r="S61" s="37"/>
      <c r="T61" s="35"/>
      <c r="U61" s="84"/>
      <c r="V61" s="37"/>
      <c r="W61" s="38"/>
      <c r="X61" s="37"/>
      <c r="Y61" s="59"/>
      <c r="Z61" s="35" t="str">
        <f t="shared" si="0"/>
        <v/>
      </c>
      <c r="AA61" s="36" t="str">
        <f t="shared" si="1"/>
        <v/>
      </c>
      <c r="AB61" s="36" t="str">
        <f t="shared" si="2"/>
        <v/>
      </c>
      <c r="AC61" s="102" t="str">
        <f t="shared" si="3"/>
        <v/>
      </c>
      <c r="AD61" s="102" t="str">
        <f t="shared" si="4"/>
        <v/>
      </c>
      <c r="AE61" s="102" t="str">
        <f t="shared" si="5"/>
        <v/>
      </c>
      <c r="AF61" s="36" t="str">
        <f t="shared" si="6"/>
        <v/>
      </c>
      <c r="AG61" s="143" t="str">
        <f t="shared" si="7"/>
        <v/>
      </c>
      <c r="AI61" s="21" t="str">
        <f>+'CORTE I '!AH61</f>
        <v/>
      </c>
      <c r="AJ61" s="22" t="str">
        <f>+'CORTE II'!AG61</f>
        <v/>
      </c>
      <c r="AK61" s="22" t="str">
        <f>+'CORTE III'!AG61</f>
        <v/>
      </c>
      <c r="AL61" s="22"/>
      <c r="AM61" s="20"/>
      <c r="AN61" s="16"/>
      <c r="AO61" s="177">
        <f>IF('CORTE I '!D61&gt;0,'CORTE I '!$C$3*AI61+'CORTE I '!$C$4*'CORTE III'!AJ61+'CORTE I '!$C$5*'CORTE III'!AK61+'CORTE I '!$C$6*'CORTE III'!AL61+'CORTE I '!$C$7*'CORTE III'!AM61,0)</f>
        <v>0</v>
      </c>
      <c r="AP61" s="22"/>
      <c r="AQ61" s="133"/>
      <c r="AR61" s="129"/>
      <c r="AS61" s="129"/>
      <c r="AT61" s="129"/>
      <c r="AU61" s="233"/>
      <c r="AV61" s="234"/>
      <c r="AW61" s="235"/>
      <c r="AX61" s="236"/>
      <c r="AY61" s="237"/>
      <c r="AZ61" s="238"/>
    </row>
    <row r="62" spans="1:52" ht="15.75" thickBot="1" x14ac:dyDescent="0.3">
      <c r="A62" s="107">
        <v>51</v>
      </c>
      <c r="B62" s="108">
        <f>'CORTE I '!B62</f>
        <v>0</v>
      </c>
      <c r="C62" s="108">
        <f>'CORTE I '!C62</f>
        <v>0</v>
      </c>
      <c r="D62" s="154">
        <f>+'CORTE I '!D62</f>
        <v>0</v>
      </c>
      <c r="E62" s="43"/>
      <c r="F62" s="44"/>
      <c r="G62" s="45"/>
      <c r="H62" s="43"/>
      <c r="I62" s="44"/>
      <c r="J62" s="45"/>
      <c r="K62" s="43"/>
      <c r="L62" s="44"/>
      <c r="M62" s="45"/>
      <c r="N62" s="43"/>
      <c r="O62" s="85"/>
      <c r="P62" s="45"/>
      <c r="Q62" s="43"/>
      <c r="R62" s="85"/>
      <c r="S62" s="45"/>
      <c r="T62" s="43"/>
      <c r="U62" s="85"/>
      <c r="V62" s="45"/>
      <c r="W62" s="46"/>
      <c r="X62" s="45"/>
      <c r="Y62" s="59"/>
      <c r="Z62" s="43" t="str">
        <f t="shared" si="0"/>
        <v/>
      </c>
      <c r="AA62" s="44" t="str">
        <f t="shared" si="1"/>
        <v/>
      </c>
      <c r="AB62" s="44" t="str">
        <f t="shared" si="2"/>
        <v/>
      </c>
      <c r="AC62" s="101" t="str">
        <f t="shared" si="3"/>
        <v/>
      </c>
      <c r="AD62" s="101" t="str">
        <f t="shared" si="4"/>
        <v/>
      </c>
      <c r="AE62" s="101" t="str">
        <f t="shared" si="5"/>
        <v/>
      </c>
      <c r="AF62" s="44" t="str">
        <f t="shared" si="6"/>
        <v/>
      </c>
      <c r="AG62" s="143" t="str">
        <f t="shared" si="7"/>
        <v/>
      </c>
      <c r="AI62" s="21" t="str">
        <f>+'CORTE I '!AH62</f>
        <v/>
      </c>
      <c r="AJ62" s="22" t="str">
        <f>+'CORTE II'!AG62</f>
        <v/>
      </c>
      <c r="AK62" s="22" t="str">
        <f>+'CORTE III'!AG62</f>
        <v/>
      </c>
      <c r="AL62" s="62"/>
      <c r="AM62" s="63"/>
      <c r="AN62" s="16"/>
      <c r="AO62" s="177">
        <f>IF('CORTE I '!D62&gt;0,'CORTE I '!$C$3*AI62+'CORTE I '!$C$4*'CORTE III'!AJ62+'CORTE I '!$C$5*'CORTE III'!AK62+'CORTE I '!$C$6*'CORTE III'!AL62+'CORTE I '!$C$7*'CORTE III'!AM62,0)</f>
        <v>0</v>
      </c>
      <c r="AP62" s="22"/>
      <c r="AQ62" s="133"/>
      <c r="AR62" s="128"/>
      <c r="AS62" s="128"/>
      <c r="AT62" s="128"/>
      <c r="AU62" s="227"/>
      <c r="AV62" s="228"/>
      <c r="AW62" s="229"/>
      <c r="AX62" s="230"/>
      <c r="AY62" s="231"/>
      <c r="AZ62" s="232"/>
    </row>
    <row r="63" spans="1:52" ht="15.75" thickBot="1" x14ac:dyDescent="0.3">
      <c r="A63" s="19">
        <v>52</v>
      </c>
      <c r="B63" s="36">
        <f>'CORTE I '!B63</f>
        <v>0</v>
      </c>
      <c r="C63" s="36">
        <f>'CORTE I '!C63</f>
        <v>0</v>
      </c>
      <c r="D63" s="153">
        <f>+'CORTE I '!D63</f>
        <v>0</v>
      </c>
      <c r="E63" s="35"/>
      <c r="F63" s="36"/>
      <c r="G63" s="37"/>
      <c r="H63" s="35"/>
      <c r="I63" s="36"/>
      <c r="J63" s="37"/>
      <c r="K63" s="35"/>
      <c r="L63" s="36"/>
      <c r="M63" s="37"/>
      <c r="N63" s="35"/>
      <c r="O63" s="84"/>
      <c r="P63" s="37"/>
      <c r="Q63" s="35"/>
      <c r="R63" s="84"/>
      <c r="S63" s="37"/>
      <c r="T63" s="35"/>
      <c r="U63" s="84"/>
      <c r="V63" s="37"/>
      <c r="W63" s="38"/>
      <c r="X63" s="37"/>
      <c r="Y63" s="59"/>
      <c r="Z63" s="35" t="str">
        <f t="shared" si="0"/>
        <v/>
      </c>
      <c r="AA63" s="36" t="str">
        <f t="shared" si="1"/>
        <v/>
      </c>
      <c r="AB63" s="36" t="str">
        <f t="shared" si="2"/>
        <v/>
      </c>
      <c r="AC63" s="102" t="str">
        <f t="shared" si="3"/>
        <v/>
      </c>
      <c r="AD63" s="102" t="str">
        <f t="shared" si="4"/>
        <v/>
      </c>
      <c r="AE63" s="102" t="str">
        <f t="shared" si="5"/>
        <v/>
      </c>
      <c r="AF63" s="36" t="str">
        <f t="shared" si="6"/>
        <v/>
      </c>
      <c r="AG63" s="143" t="str">
        <f t="shared" si="7"/>
        <v/>
      </c>
      <c r="AI63" s="21" t="str">
        <f>+'CORTE I '!AH63</f>
        <v/>
      </c>
      <c r="AJ63" s="22" t="str">
        <f>+'CORTE II'!AG63</f>
        <v/>
      </c>
      <c r="AK63" s="22" t="str">
        <f>+'CORTE III'!AG63</f>
        <v/>
      </c>
      <c r="AL63" s="22"/>
      <c r="AM63" s="20"/>
      <c r="AN63" s="16"/>
      <c r="AO63" s="177">
        <f>IF('CORTE I '!D63&gt;0,'CORTE I '!$C$3*AI63+'CORTE I '!$C$4*'CORTE III'!AJ63+'CORTE I '!$C$5*'CORTE III'!AK63+'CORTE I '!$C$6*'CORTE III'!AL63+'CORTE I '!$C$7*'CORTE III'!AM63,0)</f>
        <v>0</v>
      </c>
      <c r="AP63" s="22"/>
      <c r="AQ63" s="133"/>
      <c r="AR63" s="129"/>
      <c r="AS63" s="129"/>
      <c r="AT63" s="129"/>
      <c r="AU63" s="233"/>
      <c r="AV63" s="234"/>
      <c r="AW63" s="235"/>
      <c r="AX63" s="236"/>
      <c r="AY63" s="237"/>
      <c r="AZ63" s="238"/>
    </row>
    <row r="64" spans="1:52" ht="15.75" thickBot="1" x14ac:dyDescent="0.3">
      <c r="A64" s="110">
        <v>53</v>
      </c>
      <c r="B64" s="111">
        <f>'CORTE I '!B64</f>
        <v>0</v>
      </c>
      <c r="C64" s="111">
        <f>'CORTE I '!C64</f>
        <v>0</v>
      </c>
      <c r="D64" s="155">
        <f>+'CORTE I '!D64</f>
        <v>0</v>
      </c>
      <c r="E64" s="50"/>
      <c r="F64" s="51"/>
      <c r="G64" s="52"/>
      <c r="H64" s="50"/>
      <c r="I64" s="51"/>
      <c r="J64" s="52"/>
      <c r="K64" s="50"/>
      <c r="L64" s="51"/>
      <c r="M64" s="52"/>
      <c r="N64" s="50"/>
      <c r="O64" s="86"/>
      <c r="P64" s="52"/>
      <c r="Q64" s="50"/>
      <c r="R64" s="86"/>
      <c r="S64" s="52"/>
      <c r="T64" s="50"/>
      <c r="U64" s="86"/>
      <c r="V64" s="52"/>
      <c r="W64" s="53"/>
      <c r="X64" s="52"/>
      <c r="Y64" s="59"/>
      <c r="Z64" s="50" t="str">
        <f t="shared" si="0"/>
        <v/>
      </c>
      <c r="AA64" s="51" t="str">
        <f t="shared" si="1"/>
        <v/>
      </c>
      <c r="AB64" s="51" t="str">
        <f t="shared" si="2"/>
        <v/>
      </c>
      <c r="AC64" s="104" t="str">
        <f t="shared" si="3"/>
        <v/>
      </c>
      <c r="AD64" s="104" t="str">
        <f t="shared" si="4"/>
        <v/>
      </c>
      <c r="AE64" s="104" t="str">
        <f t="shared" si="5"/>
        <v/>
      </c>
      <c r="AF64" s="51" t="str">
        <f t="shared" si="6"/>
        <v/>
      </c>
      <c r="AG64" s="143" t="str">
        <f t="shared" si="7"/>
        <v/>
      </c>
      <c r="AI64" s="23" t="str">
        <f>+'CORTE I '!AH64</f>
        <v/>
      </c>
      <c r="AJ64" s="24" t="str">
        <f>+'CORTE II'!AG64</f>
        <v/>
      </c>
      <c r="AK64" s="24" t="str">
        <f>+'CORTE III'!AG64</f>
        <v/>
      </c>
      <c r="AL64" s="64"/>
      <c r="AM64" s="65"/>
      <c r="AN64" s="16"/>
      <c r="AO64" s="177">
        <f>IF('CORTE I '!D64&gt;0,'CORTE I '!$C$3*AI64+'CORTE I '!$C$4*'CORTE III'!AJ64+'CORTE I '!$C$5*'CORTE III'!AK64+'CORTE I '!$C$6*'CORTE III'!AL64+'CORTE I '!$C$7*'CORTE III'!AM64,0)</f>
        <v>0</v>
      </c>
      <c r="AP64" s="22"/>
      <c r="AQ64" s="133"/>
      <c r="AR64" s="128"/>
      <c r="AS64" s="128"/>
      <c r="AT64" s="128"/>
      <c r="AU64" s="227"/>
      <c r="AV64" s="228"/>
      <c r="AW64" s="229"/>
      <c r="AX64" s="230"/>
      <c r="AY64" s="231"/>
      <c r="AZ64" s="232"/>
    </row>
    <row r="65" spans="33:52" hidden="1" x14ac:dyDescent="0.25">
      <c r="AG65" s="143">
        <f>Z65*$X$1+AA65*$X$2+AB65*$X$3+AC65*$X$4+AD65*$X$5+AE65*$X$6+AF65*$X$7</f>
        <v>0</v>
      </c>
      <c r="AR65" s="129"/>
      <c r="AS65" s="129"/>
      <c r="AT65" s="129"/>
      <c r="AU65" s="233"/>
      <c r="AV65" s="234"/>
      <c r="AW65" s="235"/>
      <c r="AX65" s="236"/>
      <c r="AY65" s="237"/>
      <c r="AZ65" s="238"/>
    </row>
  </sheetData>
  <mergeCells count="133">
    <mergeCell ref="AU64:AW64"/>
    <mergeCell ref="AX64:AZ64"/>
    <mergeCell ref="AU65:AW65"/>
    <mergeCell ref="AX65:AZ65"/>
    <mergeCell ref="AU61:AW61"/>
    <mergeCell ref="AX61:AZ61"/>
    <mergeCell ref="AU62:AW62"/>
    <mergeCell ref="AX62:AZ62"/>
    <mergeCell ref="AU63:AW63"/>
    <mergeCell ref="AX63:AZ63"/>
    <mergeCell ref="AU58:AW58"/>
    <mergeCell ref="AX58:AZ58"/>
    <mergeCell ref="AU59:AW59"/>
    <mergeCell ref="AX59:AZ59"/>
    <mergeCell ref="AU60:AW60"/>
    <mergeCell ref="AX60:AZ60"/>
    <mergeCell ref="AU55:AW55"/>
    <mergeCell ref="AX55:AZ55"/>
    <mergeCell ref="AU56:AW56"/>
    <mergeCell ref="AX56:AZ56"/>
    <mergeCell ref="AU57:AW57"/>
    <mergeCell ref="AX57:AZ57"/>
    <mergeCell ref="AU52:AW52"/>
    <mergeCell ref="AX52:AZ52"/>
    <mergeCell ref="AU53:AW53"/>
    <mergeCell ref="AX53:AZ53"/>
    <mergeCell ref="AU54:AW54"/>
    <mergeCell ref="AX54:AZ54"/>
    <mergeCell ref="AU49:AW49"/>
    <mergeCell ref="AX49:AZ49"/>
    <mergeCell ref="AU50:AW50"/>
    <mergeCell ref="AX50:AZ50"/>
    <mergeCell ref="AU51:AW51"/>
    <mergeCell ref="AX51:AZ51"/>
    <mergeCell ref="AU46:AW46"/>
    <mergeCell ref="AX46:AZ46"/>
    <mergeCell ref="AU47:AW47"/>
    <mergeCell ref="AX47:AZ47"/>
    <mergeCell ref="AU48:AW48"/>
    <mergeCell ref="AX48:AZ48"/>
    <mergeCell ref="AU43:AW43"/>
    <mergeCell ref="AX43:AZ43"/>
    <mergeCell ref="AU44:AW44"/>
    <mergeCell ref="AX44:AZ44"/>
    <mergeCell ref="AU45:AW45"/>
    <mergeCell ref="AX45:AZ45"/>
    <mergeCell ref="AU40:AW40"/>
    <mergeCell ref="AX40:AZ40"/>
    <mergeCell ref="AU41:AW41"/>
    <mergeCell ref="AX41:AZ41"/>
    <mergeCell ref="AU42:AW42"/>
    <mergeCell ref="AX42:AZ42"/>
    <mergeCell ref="AU37:AW37"/>
    <mergeCell ref="AX37:AZ37"/>
    <mergeCell ref="AU38:AW38"/>
    <mergeCell ref="AX38:AZ38"/>
    <mergeCell ref="AU39:AW39"/>
    <mergeCell ref="AX39:AZ39"/>
    <mergeCell ref="AU34:AW34"/>
    <mergeCell ref="AX34:AZ34"/>
    <mergeCell ref="AU35:AW35"/>
    <mergeCell ref="AX35:AZ35"/>
    <mergeCell ref="AU36:AW36"/>
    <mergeCell ref="AX36:AZ36"/>
    <mergeCell ref="AU31:AW31"/>
    <mergeCell ref="AX31:AZ31"/>
    <mergeCell ref="AU32:AW32"/>
    <mergeCell ref="AX32:AZ32"/>
    <mergeCell ref="AU33:AW33"/>
    <mergeCell ref="AX33:AZ33"/>
    <mergeCell ref="AU28:AW28"/>
    <mergeCell ref="AX28:AZ28"/>
    <mergeCell ref="AU29:AW29"/>
    <mergeCell ref="AX29:AZ29"/>
    <mergeCell ref="AU30:AW30"/>
    <mergeCell ref="AX30:AZ30"/>
    <mergeCell ref="AU25:AW25"/>
    <mergeCell ref="AX25:AZ25"/>
    <mergeCell ref="AU26:AW26"/>
    <mergeCell ref="AX26:AZ26"/>
    <mergeCell ref="AU27:AW27"/>
    <mergeCell ref="AX27:AZ27"/>
    <mergeCell ref="AU22:AW22"/>
    <mergeCell ref="AX22:AZ22"/>
    <mergeCell ref="AU23:AW23"/>
    <mergeCell ref="AX23:AZ23"/>
    <mergeCell ref="AU24:AW24"/>
    <mergeCell ref="AX24:AZ24"/>
    <mergeCell ref="AU19:AW19"/>
    <mergeCell ref="AX19:AZ19"/>
    <mergeCell ref="AU20:AW20"/>
    <mergeCell ref="AX20:AZ20"/>
    <mergeCell ref="AU21:AW21"/>
    <mergeCell ref="AX21:AZ21"/>
    <mergeCell ref="AU16:AW16"/>
    <mergeCell ref="AX16:AZ16"/>
    <mergeCell ref="AU17:AW17"/>
    <mergeCell ref="AX17:AZ17"/>
    <mergeCell ref="AU18:AW18"/>
    <mergeCell ref="AX18:AZ18"/>
    <mergeCell ref="AU13:AW13"/>
    <mergeCell ref="AX13:AZ13"/>
    <mergeCell ref="AU14:AW14"/>
    <mergeCell ref="AX14:AZ14"/>
    <mergeCell ref="AU15:AW15"/>
    <mergeCell ref="AX15:AZ15"/>
    <mergeCell ref="AU10:AZ10"/>
    <mergeCell ref="AU11:AW11"/>
    <mergeCell ref="AX11:AZ11"/>
    <mergeCell ref="AU12:AW12"/>
    <mergeCell ref="AX12:AZ12"/>
    <mergeCell ref="Z10:AG10"/>
    <mergeCell ref="E3:W3"/>
    <mergeCell ref="X3:Y3"/>
    <mergeCell ref="X6:Y6"/>
    <mergeCell ref="AR10:AT10"/>
    <mergeCell ref="AI10:AM10"/>
    <mergeCell ref="E10:X10"/>
    <mergeCell ref="AI3:AP7"/>
    <mergeCell ref="X8:Y8"/>
    <mergeCell ref="A1:D2"/>
    <mergeCell ref="E1:W1"/>
    <mergeCell ref="X1:Y1"/>
    <mergeCell ref="E2:W2"/>
    <mergeCell ref="X2:Y2"/>
    <mergeCell ref="E7:W7"/>
    <mergeCell ref="E4:W4"/>
    <mergeCell ref="X4:Y4"/>
    <mergeCell ref="E5:W5"/>
    <mergeCell ref="X5:Y5"/>
    <mergeCell ref="E6:W6"/>
    <mergeCell ref="X7:Y7"/>
    <mergeCell ref="A3:D7"/>
  </mergeCells>
  <conditionalFormatting sqref="AG12:AG65">
    <cfRule type="cellIs" dxfId="8" priority="7" operator="between">
      <formula>4</formula>
      <formula>5</formula>
    </cfRule>
    <cfRule type="cellIs" dxfId="7" priority="8" operator="between">
      <formula>3</formula>
      <formula>3.99</formula>
    </cfRule>
    <cfRule type="cellIs" dxfId="6" priority="9" operator="between">
      <formula>0.1</formula>
      <formula>2.99</formula>
    </cfRule>
  </conditionalFormatting>
  <conditionalFormatting sqref="AI12:AK64">
    <cfRule type="cellIs" dxfId="5" priority="4" operator="between">
      <formula>4</formula>
      <formula>5</formula>
    </cfRule>
    <cfRule type="cellIs" dxfId="4" priority="5" operator="between">
      <formula>3</formula>
      <formula>3.99</formula>
    </cfRule>
    <cfRule type="cellIs" dxfId="3" priority="6" operator="between">
      <formula>0.1</formula>
      <formula>2.99</formula>
    </cfRule>
  </conditionalFormatting>
  <conditionalFormatting sqref="AO12:AP64">
    <cfRule type="cellIs" dxfId="2" priority="1" operator="between">
      <formula>4</formula>
      <formula>5</formula>
    </cfRule>
    <cfRule type="cellIs" dxfId="1" priority="2" operator="between">
      <formula>3</formula>
      <formula>3.99</formula>
    </cfRule>
    <cfRule type="cellIs" dxfId="0" priority="3" operator="between">
      <formula>0.1</formula>
      <formula>2.99</formula>
    </cfRule>
  </conditionalFormatting>
  <pageMargins left="0.7" right="0.7" top="0.75" bottom="0.75" header="0.3" footer="0.3"/>
  <pageSetup scale="41" orientation="landscape" r:id="rId1"/>
  <rowBreaks count="1" manualBreakCount="1">
    <brk id="9" max="16383" man="1"/>
  </rowBreaks>
  <colBreaks count="2" manualBreakCount="2">
    <brk id="33" max="1048575" man="1"/>
    <brk id="43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NO TOCAR</vt:lpstr>
      <vt:lpstr>CORTE I </vt:lpstr>
      <vt:lpstr>CORTE II</vt:lpstr>
      <vt:lpstr>CORTE III</vt:lpstr>
      <vt:lpstr>Hoja1</vt:lpstr>
      <vt:lpstr>'CORTE I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Thor</cp:lastModifiedBy>
  <cp:lastPrinted>2018-04-02T14:07:20Z</cp:lastPrinted>
  <dcterms:created xsi:type="dcterms:W3CDTF">2018-03-10T19:54:38Z</dcterms:created>
  <dcterms:modified xsi:type="dcterms:W3CDTF">2021-10-05T14:30:53Z</dcterms:modified>
</cp:coreProperties>
</file>